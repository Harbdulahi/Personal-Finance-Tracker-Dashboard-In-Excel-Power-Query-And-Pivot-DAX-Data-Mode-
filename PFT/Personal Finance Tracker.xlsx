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\Desktop\Excel Project\"/>
    </mc:Choice>
  </mc:AlternateContent>
  <xr:revisionPtr revIDLastSave="0" documentId="13_ncr:1_{A9FD1B4E-4F4E-4EEA-AA45-0A254FB0EB66}" xr6:coauthVersionLast="47" xr6:coauthVersionMax="47" xr10:uidLastSave="{00000000-0000-0000-0000-000000000000}"/>
  <bookViews>
    <workbookView minimized="1" xWindow="4755" yWindow="330" windowWidth="21600" windowHeight="11235" activeTab="1" xr2:uid="{771358BF-DEBE-4173-8E53-A7D0E0410342}"/>
  </bookViews>
  <sheets>
    <sheet name="Calculation" sheetId="1" r:id="rId1"/>
    <sheet name="Dashboard" sheetId="2" r:id="rId2"/>
  </sheets>
  <definedNames>
    <definedName name="Timeline_Date">#N/A</definedName>
  </definedNames>
  <calcPr calcId="191029"/>
  <pivotCaches>
    <pivotCache cacheId="52" r:id="rId3"/>
    <pivotCache cacheId="55" r:id="rId4"/>
    <pivotCache cacheId="58" r:id="rId5"/>
    <pivotCache cacheId="61" r:id="rId6"/>
    <pivotCache cacheId="64" r:id="rId7"/>
    <pivotCache cacheId="67" r:id="rId8"/>
    <pivotCache cacheId="70" r:id="rId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7" r:id="rId10"/>
      </x15:timelineCachePivotCaches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ersonal_transactions_8bb65286-b610-4481-83fa-6081395c9bc0" name="personal_transactions" connection="Query - personal_transactions"/>
          <x15:modelTable id="key measures_f2feda69-438f-4df5-8d13-b6f8a18c3c50" name="key measures" connection="Query - key measures"/>
          <x15:modelTable id="Calendar" name="Calendar" connection="Connection"/>
        </x15:modelTables>
        <x15:modelRelationships>
          <x15:modelRelationship fromTable="personal_transactions" fromColumn="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" i="1" l="1"/>
  <c r="N9" i="1"/>
  <c r="T9" i="1"/>
  <c r="L9" i="1"/>
  <c r="R9" i="1"/>
  <c r="P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32D612-2644-438F-B13E-C0CA544DEDE0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C83A927D-4DA3-4654-988C-793E5DFED1E0}" name="Query - key measures" description="Connection to the 'key measures' query in the workbook." type="100" refreshedVersion="7" minRefreshableVersion="5">
    <extLst>
      <ext xmlns:x15="http://schemas.microsoft.com/office/spreadsheetml/2010/11/main" uri="{DE250136-89BD-433C-8126-D09CA5730AF9}">
        <x15:connection id="730422b4-b328-4d47-a019-0d273452a90e"/>
      </ext>
    </extLst>
  </connection>
  <connection id="3" xr16:uid="{46FF4740-4225-46BC-9828-23F68BF06116}" name="Query - personal_transactions" description="Connection to the 'personal_transactions' query in the workbook." type="100" refreshedVersion="7" minRefreshableVersion="5">
    <extLst>
      <ext xmlns:x15="http://schemas.microsoft.com/office/spreadsheetml/2010/11/main" uri="{DE250136-89BD-433C-8126-D09CA5730AF9}">
        <x15:connection id="bf1552b0-22b2-4d50-8024-c26537cf21e2"/>
      </ext>
    </extLst>
  </connection>
  <connection id="4" xr16:uid="{6CA9F255-2B42-404F-95B0-C55E58F134CC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<sst xmlns="http://schemas.openxmlformats.org/spreadsheetml/2006/main" count="72" uniqueCount="43">
  <si>
    <t>Income</t>
  </si>
  <si>
    <t>Row Labels</t>
  </si>
  <si>
    <t>Credit Card Payment</t>
  </si>
  <si>
    <t>Paycheck</t>
  </si>
  <si>
    <t>Alcohol &amp; Bars</t>
  </si>
  <si>
    <t>Coffee Shops</t>
  </si>
  <si>
    <t>Gas &amp; Fuel</t>
  </si>
  <si>
    <t>Groceries</t>
  </si>
  <si>
    <t>Haircut</t>
  </si>
  <si>
    <t>Home Improvement</t>
  </si>
  <si>
    <t>Internet</t>
  </si>
  <si>
    <t>Mobile Phone</t>
  </si>
  <si>
    <t>Mortgage &amp; Rent</t>
  </si>
  <si>
    <t>Movies &amp; DVDs</t>
  </si>
  <si>
    <t>Music</t>
  </si>
  <si>
    <t>Restaurants</t>
  </si>
  <si>
    <t>Shopping</t>
  </si>
  <si>
    <t>Utilities</t>
  </si>
  <si>
    <t>Expense</t>
  </si>
  <si>
    <t>Expense %</t>
  </si>
  <si>
    <t>Saving %</t>
  </si>
  <si>
    <t>Monthly Expense, Savings, And Income Trend</t>
  </si>
  <si>
    <t>Checking</t>
  </si>
  <si>
    <t>Platinum Card</t>
  </si>
  <si>
    <t>Silver Card</t>
  </si>
  <si>
    <t>Card Type by expense</t>
  </si>
  <si>
    <t>Income Sources</t>
  </si>
  <si>
    <t>Expense By Category</t>
  </si>
  <si>
    <t>Income %</t>
  </si>
  <si>
    <t>Savings</t>
  </si>
  <si>
    <t>PM income</t>
  </si>
  <si>
    <t>PM Expense</t>
  </si>
  <si>
    <t>PM Savings</t>
  </si>
  <si>
    <t>MoM Expense</t>
  </si>
  <si>
    <t>MoM Income</t>
  </si>
  <si>
    <t>MoM Savings</t>
  </si>
  <si>
    <t>KPIs</t>
  </si>
  <si>
    <t>Count</t>
  </si>
  <si>
    <t>Feb</t>
  </si>
  <si>
    <t>Fast Food</t>
  </si>
  <si>
    <t>Q1</t>
  </si>
  <si>
    <t>Mar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</si>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</sst>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\$#,##0.00;\(\$#,##0.00\);\$#,##0.00"/>
    <numFmt numFmtId="165" formatCode="0%;\-0%;0%"/>
    <numFmt numFmtId="166" formatCode="\$#,##0;\(\$#,##0\);\$#,##0"/>
    <numFmt numFmtId="167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1" applyFont="1"/>
    <xf numFmtId="44" fontId="0" fillId="0" borderId="0" xfId="0" applyNumberFormat="1"/>
    <xf numFmtId="1" fontId="0" fillId="0" borderId="0" xfId="0" applyNumberForma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9">
    <dxf>
      <numFmt numFmtId="34" formatCode="_(&quot;$&quot;* #,##0.00_);_(&quot;$&quot;* \(#,##0.00\);_(&quot;$&quot;* &quot;-&quot;??_);_(@_)"/>
    </dxf>
    <dxf>
      <font>
        <color rgb="FF7CFC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sz val="11"/>
        <color theme="0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0"/>
          <bgColor rgb="FF15273A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line Style 1" pivot="0" table="0" count="8" xr9:uid="{E6D0B9B8-A46B-4776-BD71-4ADBED6E597C}">
      <tableStyleElement type="wholeTable" dxfId="8"/>
      <tableStyleElement type="headerRow" dxfId="7"/>
    </tableStyle>
  </tableStyles>
  <colors>
    <mruColors>
      <color rgb="FF7CFC00"/>
      <color rgb="FF0E2030"/>
      <color rgb="FF15273A"/>
      <color rgb="FF7DA958"/>
      <color rgb="FF148194"/>
      <color rgb="FF45AC77"/>
      <color rgb="FFEF8535"/>
      <color rgb="FFFFF6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11/relationships/timelineCache" Target="timelineCaches/timelineCach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pivotCacheDefinition" Target="pivotCache/pivotCacheDefinition3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48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Tracker.xlsx]Calculation!PivotTable5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EF853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14819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7DA9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EF853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14819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7DA9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14819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7DA9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Calculation!$B$6</c:f>
              <c:strCache>
                <c:ptCount val="1"/>
                <c:pt idx="0">
                  <c:v>Income %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Calculation!$A$7:$A$9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Calculation!$B$7:$B$9</c:f>
              <c:numCache>
                <c:formatCode>0%;\-0%;0%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C96-495B-A7F4-0759FA7A3312}"/>
            </c:ext>
          </c:extLst>
        </c:ser>
        <c:ser>
          <c:idx val="1"/>
          <c:order val="1"/>
          <c:tx>
            <c:strRef>
              <c:f>Calculation!$C$6</c:f>
              <c:strCache>
                <c:ptCount val="1"/>
                <c:pt idx="0">
                  <c:v>Expense %</c:v>
                </c:pt>
              </c:strCache>
            </c:strRef>
          </c:tx>
          <c:spPr>
            <a:ln w="28575" cap="rnd">
              <a:solidFill>
                <a:srgbClr val="148194"/>
              </a:solidFill>
              <a:round/>
            </a:ln>
            <a:effectLst/>
          </c:spPr>
          <c:marker>
            <c:symbol val="none"/>
          </c:marker>
          <c:cat>
            <c:strRef>
              <c:f>Calculation!$A$7:$A$9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Calculation!$C$7:$C$9</c:f>
              <c:numCache>
                <c:formatCode>0%;\-0%;0%</c:formatCode>
                <c:ptCount val="3"/>
                <c:pt idx="0">
                  <c:v>0.40925520285806422</c:v>
                </c:pt>
                <c:pt idx="1">
                  <c:v>0.60624431355648134</c:v>
                </c:pt>
                <c:pt idx="2">
                  <c:v>0.4780659700880967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C96-495B-A7F4-0759FA7A3312}"/>
            </c:ext>
          </c:extLst>
        </c:ser>
        <c:ser>
          <c:idx val="2"/>
          <c:order val="2"/>
          <c:tx>
            <c:strRef>
              <c:f>Calculation!$D$6</c:f>
              <c:strCache>
                <c:ptCount val="1"/>
                <c:pt idx="0">
                  <c:v>Saving %</c:v>
                </c:pt>
              </c:strCache>
            </c:strRef>
          </c:tx>
          <c:spPr>
            <a:ln w="28575" cap="rnd">
              <a:solidFill>
                <a:srgbClr val="7DA958"/>
              </a:solidFill>
              <a:round/>
            </a:ln>
            <a:effectLst/>
          </c:spPr>
          <c:marker>
            <c:symbol val="none"/>
          </c:marker>
          <c:cat>
            <c:strRef>
              <c:f>Calculation!$A$7:$A$9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Calculation!$D$7:$D$9</c:f>
              <c:numCache>
                <c:formatCode>0%;\-0%;0%</c:formatCode>
                <c:ptCount val="3"/>
                <c:pt idx="0">
                  <c:v>0.59074479714193573</c:v>
                </c:pt>
                <c:pt idx="1">
                  <c:v>0.3937556864435186</c:v>
                </c:pt>
                <c:pt idx="2">
                  <c:v>0.5219340299119033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C96-495B-A7F4-0759FA7A3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503375"/>
        <c:axId val="1789511279"/>
      </c:lineChart>
      <c:catAx>
        <c:axId val="178950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511279"/>
        <c:crosses val="autoZero"/>
        <c:auto val="1"/>
        <c:lblAlgn val="ctr"/>
        <c:lblOffset val="100"/>
        <c:noMultiLvlLbl val="0"/>
      </c:catAx>
      <c:valAx>
        <c:axId val="178951127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;\-0%;0%" sourceLinked="1"/>
        <c:majorTickMark val="none"/>
        <c:minorTickMark val="none"/>
        <c:tickLblPos val="nextTo"/>
        <c:crossAx val="178950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Tracker.xlsx]Calculation!PivotTable2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6985443348849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-1.1187259525582785E-16"/>
              <c:y val="-0.345132646614862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-2.2374519051165569E-16"/>
              <c:y val="-6.0200681579160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6.42140603511043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1.5255530129670888E-3"/>
              <c:y val="-0.12040141091987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1.1187259525582785E-16"/>
              <c:y val="-4.0133787719440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2675754388804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3.2107030175552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9.23077117547124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4.41471664913841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7.22408178949923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-5.5936297627913923E-17"/>
              <c:y val="-8.02675754388803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-5.5936297627913923E-17"/>
              <c:y val="-4.0133787719440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-5.5936297627913923E-17"/>
              <c:y val="-0.136454878246096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4.41471664913841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0"/>
              <c:y val="-9.23077117547124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6.0200681579160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-1.3984074406978481E-17"/>
              <c:y val="-8.02675754388803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4.01337877194401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148194">
              <a:alpha val="95000"/>
            </a:srgbClr>
          </a:solidFill>
          <a:ln>
            <a:noFill/>
          </a:ln>
          <a:effectLst/>
        </c:spPr>
        <c:dLbl>
          <c:idx val="0"/>
          <c:layout>
            <c:manualLayout>
              <c:x val="-3.0511060259344014E-3"/>
              <c:y val="-0.337123816843297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603872742451815E-2"/>
          <c:y val="8.5950435595870525E-2"/>
          <c:w val="0.94161504411490893"/>
          <c:h val="0.654026590493028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Calculation!$G$5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48194">
                <a:alpha val="95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251-4FF7-8FA4-271B38D79B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251-4FF7-8FA4-271B38D79B2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251-4FF7-8FA4-271B38D79B2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251-4FF7-8FA4-271B38D79B2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251-4FF7-8FA4-271B38D79B2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251-4FF7-8FA4-271B38D79B2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1251-4FF7-8FA4-271B38D79B2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251-4FF7-8FA4-271B38D79B2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1251-4FF7-8FA4-271B38D79B2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251-4FF7-8FA4-271B38D79B2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1251-4FF7-8FA4-271B38D79B29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251-4FF7-8FA4-271B38D79B29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1251-4FF7-8FA4-271B38D79B29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251-4FF7-8FA4-271B38D79B2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1251-4FF7-8FA4-271B38D79B29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1251-4FF7-8FA4-271B38D79B2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1251-4FF7-8FA4-271B38D79B29}"/>
              </c:ext>
            </c:extLst>
          </c:dPt>
          <c:dLbls>
            <c:dLbl>
              <c:idx val="0"/>
              <c:layout>
                <c:manualLayout>
                  <c:x val="0"/>
                  <c:y val="-4.01337877194401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51-4FF7-8FA4-271B38D79B29}"/>
                </c:ext>
              </c:extLst>
            </c:dLbl>
            <c:dLbl>
              <c:idx val="1"/>
              <c:layout>
                <c:manualLayout>
                  <c:x val="0"/>
                  <c:y val="-6.0200681579160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51-4FF7-8FA4-271B38D79B29}"/>
                </c:ext>
              </c:extLst>
            </c:dLbl>
            <c:dLbl>
              <c:idx val="2"/>
              <c:layout>
                <c:manualLayout>
                  <c:x val="-3.0511060259344014E-3"/>
                  <c:y val="-0.337123816843297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51-4FF7-8FA4-271B38D79B29}"/>
                </c:ext>
              </c:extLst>
            </c:dLbl>
            <c:dLbl>
              <c:idx val="3"/>
              <c:layout>
                <c:manualLayout>
                  <c:x val="0"/>
                  <c:y val="-4.41471664913841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51-4FF7-8FA4-271B38D79B29}"/>
                </c:ext>
              </c:extLst>
            </c:dLbl>
            <c:dLbl>
              <c:idx val="4"/>
              <c:layout>
                <c:manualLayout>
                  <c:x val="-5.5936297627913923E-17"/>
                  <c:y val="-4.01337877194402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51-4FF7-8FA4-271B38D79B29}"/>
                </c:ext>
              </c:extLst>
            </c:dLbl>
            <c:dLbl>
              <c:idx val="5"/>
              <c:layout>
                <c:manualLayout>
                  <c:x val="-5.5936297627913923E-17"/>
                  <c:y val="-8.026757543888035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51-4FF7-8FA4-271B38D79B29}"/>
                </c:ext>
              </c:extLst>
            </c:dLbl>
            <c:dLbl>
              <c:idx val="6"/>
              <c:layout>
                <c:manualLayout>
                  <c:x val="0"/>
                  <c:y val="-7.22408178949923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251-4FF7-8FA4-271B38D79B29}"/>
                </c:ext>
              </c:extLst>
            </c:dLbl>
            <c:dLbl>
              <c:idx val="7"/>
              <c:layout>
                <c:manualLayout>
                  <c:x val="-1.1187259525582785E-16"/>
                  <c:y val="-0.3451326466148621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51-4FF7-8FA4-271B38D79B29}"/>
                </c:ext>
              </c:extLst>
            </c:dLbl>
            <c:dLbl>
              <c:idx val="8"/>
              <c:layout>
                <c:manualLayout>
                  <c:x val="0"/>
                  <c:y val="-4.414716649138419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251-4FF7-8FA4-271B38D79B29}"/>
                </c:ext>
              </c:extLst>
            </c:dLbl>
            <c:dLbl>
              <c:idx val="9"/>
              <c:layout>
                <c:manualLayout>
                  <c:x val="0"/>
                  <c:y val="-9.23077117547124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251-4FF7-8FA4-271B38D79B29}"/>
                </c:ext>
              </c:extLst>
            </c:dLbl>
            <c:dLbl>
              <c:idx val="10"/>
              <c:layout>
                <c:manualLayout>
                  <c:x val="0"/>
                  <c:y val="-0.326985443348849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251-4FF7-8FA4-271B38D79B29}"/>
                </c:ext>
              </c:extLst>
            </c:dLbl>
            <c:dLbl>
              <c:idx val="11"/>
              <c:layout>
                <c:manualLayout>
                  <c:x val="0"/>
                  <c:y val="-3.2107030175552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251-4FF7-8FA4-271B38D79B29}"/>
                </c:ext>
              </c:extLst>
            </c:dLbl>
            <c:dLbl>
              <c:idx val="12"/>
              <c:layout>
                <c:manualLayout>
                  <c:x val="0"/>
                  <c:y val="-8.02675754388804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251-4FF7-8FA4-271B38D79B29}"/>
                </c:ext>
              </c:extLst>
            </c:dLbl>
            <c:dLbl>
              <c:idx val="13"/>
              <c:layout>
                <c:manualLayout>
                  <c:x val="1.5255530129670888E-3"/>
                  <c:y val="-0.120401410919870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251-4FF7-8FA4-271B38D79B29}"/>
                </c:ext>
              </c:extLst>
            </c:dLbl>
            <c:dLbl>
              <c:idx val="14"/>
              <c:layout>
                <c:manualLayout>
                  <c:x val="0"/>
                  <c:y val="-6.42140603511043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251-4FF7-8FA4-271B38D79B29}"/>
                </c:ext>
              </c:extLst>
            </c:dLbl>
            <c:dLbl>
              <c:idx val="15"/>
              <c:layout>
                <c:manualLayout>
                  <c:x val="-2.2374519051165569E-16"/>
                  <c:y val="-6.0200681579160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251-4FF7-8FA4-271B38D79B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Calculation!$F$6:$F$21</c:f>
              <c:strCache>
                <c:ptCount val="16"/>
                <c:pt idx="0">
                  <c:v>Alcohol &amp; Bars</c:v>
                </c:pt>
                <c:pt idx="1">
                  <c:v>Coffee Shops</c:v>
                </c:pt>
                <c:pt idx="2">
                  <c:v>Credit Card Payment</c:v>
                </c:pt>
                <c:pt idx="3">
                  <c:v>Fast Food</c:v>
                </c:pt>
                <c:pt idx="4">
                  <c:v>Gas &amp; Fuel</c:v>
                </c:pt>
                <c:pt idx="5">
                  <c:v>Groceries</c:v>
                </c:pt>
                <c:pt idx="6">
                  <c:v>Haircut</c:v>
                </c:pt>
                <c:pt idx="7">
                  <c:v>Home Improvement</c:v>
                </c:pt>
                <c:pt idx="8">
                  <c:v>Internet</c:v>
                </c:pt>
                <c:pt idx="9">
                  <c:v>Mobile Phone</c:v>
                </c:pt>
                <c:pt idx="10">
                  <c:v>Mortgage &amp; Rent</c:v>
                </c:pt>
                <c:pt idx="11">
                  <c:v>Movies &amp; DVDs</c:v>
                </c:pt>
                <c:pt idx="12">
                  <c:v>Music</c:v>
                </c:pt>
                <c:pt idx="13">
                  <c:v>Restaurants</c:v>
                </c:pt>
                <c:pt idx="14">
                  <c:v>Shopping</c:v>
                </c:pt>
                <c:pt idx="15">
                  <c:v>Utilities</c:v>
                </c:pt>
              </c:strCache>
            </c:strRef>
          </c:cat>
          <c:val>
            <c:numRef>
              <c:f>Calculation!$G$6:$G$21</c:f>
              <c:numCache>
                <c:formatCode>\$#,##0.00;\(\$#,##0.00\);\$#,##0.00</c:formatCode>
                <c:ptCount val="16"/>
                <c:pt idx="0">
                  <c:v>33.5</c:v>
                </c:pt>
                <c:pt idx="1">
                  <c:v>19</c:v>
                </c:pt>
                <c:pt idx="2">
                  <c:v>3261.91</c:v>
                </c:pt>
                <c:pt idx="3">
                  <c:v>66.91</c:v>
                </c:pt>
                <c:pt idx="4">
                  <c:v>199.42</c:v>
                </c:pt>
                <c:pt idx="5">
                  <c:v>322.54000000000002</c:v>
                </c:pt>
                <c:pt idx="6">
                  <c:v>30</c:v>
                </c:pt>
                <c:pt idx="7">
                  <c:v>51.21</c:v>
                </c:pt>
                <c:pt idx="8">
                  <c:v>219.97</c:v>
                </c:pt>
                <c:pt idx="9">
                  <c:v>268.5</c:v>
                </c:pt>
                <c:pt idx="10">
                  <c:v>3742.32</c:v>
                </c:pt>
                <c:pt idx="11">
                  <c:v>35.28</c:v>
                </c:pt>
                <c:pt idx="12">
                  <c:v>32.07</c:v>
                </c:pt>
                <c:pt idx="13">
                  <c:v>681.7</c:v>
                </c:pt>
                <c:pt idx="14">
                  <c:v>185.33</c:v>
                </c:pt>
                <c:pt idx="15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72F-42D2-A670-8BCFFB743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overlap val="100"/>
        <c:axId val="1789329055"/>
        <c:axId val="1789328223"/>
      </c:barChart>
      <c:catAx>
        <c:axId val="178932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328223"/>
        <c:crosses val="autoZero"/>
        <c:auto val="1"/>
        <c:lblAlgn val="ctr"/>
        <c:lblOffset val="100"/>
        <c:noMultiLvlLbl val="0"/>
      </c:catAx>
      <c:valAx>
        <c:axId val="1789328223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178932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Tracker.xlsx]Calculation!PivotTable3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48194"/>
          </a:solidFill>
          <a:ln w="19050">
            <a:noFill/>
          </a:ln>
          <a:effectLst/>
        </c:spPr>
        <c:dLbl>
          <c:idx val="0"/>
          <c:layout>
            <c:manualLayout>
              <c:x val="0.10158730158730159"/>
              <c:y val="1.4201194018501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DA958"/>
          </a:solidFill>
          <a:ln w="19050">
            <a:noFill/>
          </a:ln>
          <a:effectLst/>
        </c:spPr>
        <c:dLbl>
          <c:idx val="0"/>
          <c:layout>
            <c:manualLayout>
              <c:x val="-8.8888888888888906E-2"/>
              <c:y val="-7.81065671017599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Calculation!$J$7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14819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A9-4B03-BCC5-CF4507FD8165}"/>
              </c:ext>
            </c:extLst>
          </c:dPt>
          <c:dPt>
            <c:idx val="1"/>
            <c:bubble3D val="0"/>
            <c:spPr>
              <a:solidFill>
                <a:srgbClr val="7DA9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A9-4B03-BCC5-CF4507FD8165}"/>
              </c:ext>
            </c:extLst>
          </c:dPt>
          <c:dLbls>
            <c:dLbl>
              <c:idx val="0"/>
              <c:layout>
                <c:manualLayout>
                  <c:x val="0.10158730158730159"/>
                  <c:y val="1.4201194018501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A9-4B03-BCC5-CF4507FD8165}"/>
                </c:ext>
              </c:extLst>
            </c:dLbl>
            <c:dLbl>
              <c:idx val="1"/>
              <c:layout>
                <c:manualLayout>
                  <c:x val="-8.8888888888888906E-2"/>
                  <c:y val="-7.8106567101759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A9-4B03-BCC5-CF4507FD81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Calculation!$I$8:$I$9</c:f>
              <c:strCache>
                <c:ptCount val="2"/>
                <c:pt idx="0">
                  <c:v>Paycheck</c:v>
                </c:pt>
                <c:pt idx="1">
                  <c:v>Credit Card Payment</c:v>
                </c:pt>
              </c:strCache>
            </c:strRef>
          </c:cat>
          <c:val>
            <c:numRef>
              <c:f>Calculation!$J$8:$J$9</c:f>
              <c:numCache>
                <c:formatCode>0.00%</c:formatCode>
                <c:ptCount val="2"/>
                <c:pt idx="0">
                  <c:v>0.71047452593587257</c:v>
                </c:pt>
                <c:pt idx="1">
                  <c:v>0.28952547406412743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1F7-486F-A0A4-9BF62042AA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Tracker.xlsx]Calculation!PivotTable7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48194"/>
          </a:solidFill>
          <a:ln w="19050">
            <a:noFill/>
          </a:ln>
          <a:effectLst/>
        </c:spPr>
        <c:dLbl>
          <c:idx val="0"/>
          <c:layout>
            <c:manualLayout>
              <c:x val="0.11840002983307832"/>
              <c:y val="2.26415094339622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DA958"/>
          </a:solidFill>
          <a:ln w="19050">
            <a:noFill/>
          </a:ln>
          <a:effectLst/>
        </c:spPr>
        <c:dLbl>
          <c:idx val="0"/>
          <c:layout>
            <c:manualLayout>
              <c:x val="-0.16000004031497078"/>
              <c:y val="7.547169811320754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5AC77"/>
          </a:solidFill>
          <a:ln w="19050">
            <a:noFill/>
          </a:ln>
          <a:effectLst/>
        </c:spPr>
        <c:dLbl>
          <c:idx val="0"/>
          <c:layout>
            <c:manualLayout>
              <c:x val="0.1728000435401684"/>
              <c:y val="-7.54716981132075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65763773899028"/>
          <c:y val="7.7593819640469464E-2"/>
          <c:w val="0.37179173469772897"/>
          <c:h val="0.86049918288515825"/>
        </c:manualLayout>
      </c:layout>
      <c:doughnutChart>
        <c:varyColors val="1"/>
        <c:ser>
          <c:idx val="0"/>
          <c:order val="0"/>
          <c:tx>
            <c:strRef>
              <c:f>Calculation!$J$14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14819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6D-4941-8BDE-BCB7BE4E9C72}"/>
              </c:ext>
            </c:extLst>
          </c:dPt>
          <c:dPt>
            <c:idx val="1"/>
            <c:bubble3D val="0"/>
            <c:spPr>
              <a:solidFill>
                <a:srgbClr val="7DA9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6D-4941-8BDE-BCB7BE4E9C72}"/>
              </c:ext>
            </c:extLst>
          </c:dPt>
          <c:dPt>
            <c:idx val="2"/>
            <c:bubble3D val="0"/>
            <c:spPr>
              <a:solidFill>
                <a:srgbClr val="45AC7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6D-4941-8BDE-BCB7BE4E9C72}"/>
              </c:ext>
            </c:extLst>
          </c:dPt>
          <c:dLbls>
            <c:dLbl>
              <c:idx val="0"/>
              <c:layout>
                <c:manualLayout>
                  <c:x val="0.11840002983307832"/>
                  <c:y val="2.2641509433962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6D-4941-8BDE-BCB7BE4E9C72}"/>
                </c:ext>
              </c:extLst>
            </c:dLbl>
            <c:dLbl>
              <c:idx val="1"/>
              <c:layout>
                <c:manualLayout>
                  <c:x val="-0.16000004031497078"/>
                  <c:y val="7.54716981132075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6D-4941-8BDE-BCB7BE4E9C72}"/>
                </c:ext>
              </c:extLst>
            </c:dLbl>
            <c:dLbl>
              <c:idx val="2"/>
              <c:layout>
                <c:manualLayout>
                  <c:x val="0.1728000435401684"/>
                  <c:y val="-7.54716981132075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6D-4941-8BDE-BCB7BE4E9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Calculation!$I$15:$I$17</c:f>
              <c:strCache>
                <c:ptCount val="3"/>
                <c:pt idx="0">
                  <c:v>Checking</c:v>
                </c:pt>
                <c:pt idx="1">
                  <c:v>Platinum Card</c:v>
                </c:pt>
                <c:pt idx="2">
                  <c:v>Silver Card</c:v>
                </c:pt>
              </c:strCache>
            </c:strRef>
          </c:cat>
          <c:val>
            <c:numRef>
              <c:f>Calculation!$J$15:$J$17</c:f>
              <c:numCache>
                <c:formatCode>0.00%</c:formatCode>
                <c:ptCount val="3"/>
                <c:pt idx="0">
                  <c:v>0.82733992868352113</c:v>
                </c:pt>
                <c:pt idx="1">
                  <c:v>9.2664531201480521E-2</c:v>
                </c:pt>
                <c:pt idx="2">
                  <c:v>7.9995540114998348E-2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465-44AE-89A2-CCF4A97A96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Tracker.xlsx]Calculation!PivotTable12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5273A">
              <a:alpha val="6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Calculation!$Q$13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273A">
                <a:alpha val="60000"/>
              </a:srgbClr>
            </a:solidFill>
            <a:ln w="25400">
              <a:noFill/>
            </a:ln>
            <a:effectLst/>
          </c:spPr>
          <c:cat>
            <c:strRef>
              <c:f>Calculation!$P$14</c:f>
              <c:strCache>
                <c:ptCount val="1"/>
                <c:pt idx="0">
                  <c:v>Q1</c:v>
                </c:pt>
              </c:strCache>
            </c:strRef>
          </c:cat>
          <c:val>
            <c:numRef>
              <c:f>Calculation!$Q$14</c:f>
              <c:numCache>
                <c:formatCode>\$#,##0.00;\(\$#,##0.00\);\$#,##0.00</c:formatCode>
                <c:ptCount val="1"/>
                <c:pt idx="0">
                  <c:v>19705.14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211-4CE3-BC41-C5DCF3569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199839"/>
        <c:axId val="1881188191"/>
      </c:areaChart>
      <c:catAx>
        <c:axId val="1881199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1188191"/>
        <c:crosses val="autoZero"/>
        <c:auto val="1"/>
        <c:lblAlgn val="ctr"/>
        <c:lblOffset val="100"/>
        <c:noMultiLvlLbl val="0"/>
      </c:catAx>
      <c:valAx>
        <c:axId val="188118819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188119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13" Type="http://schemas.openxmlformats.org/officeDocument/2006/relationships/image" Target="../media/image8.png"/><Relationship Id="rId3" Type="http://schemas.openxmlformats.org/officeDocument/2006/relationships/chart" Target="../charts/chart2.xml"/><Relationship Id="rId7" Type="http://schemas.openxmlformats.org/officeDocument/2006/relationships/image" Target="../media/image2.png"/><Relationship Id="rId12" Type="http://schemas.openxmlformats.org/officeDocument/2006/relationships/image" Target="../media/image7.svg"/><Relationship Id="rId17" Type="http://schemas.openxmlformats.org/officeDocument/2006/relationships/image" Target="../media/image12.png"/><Relationship Id="rId2" Type="http://schemas.openxmlformats.org/officeDocument/2006/relationships/chart" Target="../charts/chart1.xml"/><Relationship Id="rId16" Type="http://schemas.openxmlformats.org/officeDocument/2006/relationships/image" Target="../media/image11.jpe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image" Target="../media/image6.png"/><Relationship Id="rId5" Type="http://schemas.openxmlformats.org/officeDocument/2006/relationships/chart" Target="../charts/chart4.xml"/><Relationship Id="rId15" Type="http://schemas.openxmlformats.org/officeDocument/2006/relationships/image" Target="../media/image10.png"/><Relationship Id="rId10" Type="http://schemas.openxmlformats.org/officeDocument/2006/relationships/image" Target="../media/image5.svg"/><Relationship Id="rId4" Type="http://schemas.openxmlformats.org/officeDocument/2006/relationships/chart" Target="../charts/chart3.xml"/><Relationship Id="rId9" Type="http://schemas.openxmlformats.org/officeDocument/2006/relationships/image" Target="../media/image4.pn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518581</xdr:colOff>
      <xdr:row>1</xdr:row>
      <xdr:rowOff>74083</xdr:rowOff>
    </xdr:from>
    <xdr:to>
      <xdr:col>28</xdr:col>
      <xdr:colOff>198440</xdr:colOff>
      <xdr:row>40</xdr:row>
      <xdr:rowOff>10585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7B19892-DC61-437C-8847-3DE743B16314}"/>
            </a:ext>
          </a:extLst>
        </xdr:cNvPr>
        <xdr:cNvGrpSpPr/>
      </xdr:nvGrpSpPr>
      <xdr:grpSpPr>
        <a:xfrm>
          <a:off x="518581" y="266610"/>
          <a:ext cx="16703263" cy="7445039"/>
          <a:chOff x="518581" y="264583"/>
          <a:chExt cx="16867192" cy="7366002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18368F60-E095-40E3-87BA-D7BB18365E79}"/>
              </a:ext>
            </a:extLst>
          </xdr:cNvPr>
          <xdr:cNvSpPr/>
        </xdr:nvSpPr>
        <xdr:spPr>
          <a:xfrm>
            <a:off x="613833" y="264583"/>
            <a:ext cx="13684250" cy="7334250"/>
          </a:xfrm>
          <a:prstGeom prst="roundRect">
            <a:avLst>
              <a:gd name="adj" fmla="val 1735"/>
            </a:avLst>
          </a:prstGeom>
          <a:solidFill>
            <a:srgbClr val="0E203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627B130A-2FC0-427D-8F46-6BDD592FB56D}"/>
              </a:ext>
            </a:extLst>
          </xdr:cNvPr>
          <xdr:cNvSpPr/>
        </xdr:nvSpPr>
        <xdr:spPr>
          <a:xfrm>
            <a:off x="709083" y="412751"/>
            <a:ext cx="13483167" cy="635000"/>
          </a:xfrm>
          <a:prstGeom prst="roundRect">
            <a:avLst/>
          </a:prstGeom>
          <a:solidFill>
            <a:srgbClr val="15273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6ED6A2C4-9641-4509-A7C2-837CB171D134}"/>
              </a:ext>
            </a:extLst>
          </xdr:cNvPr>
          <xdr:cNvSpPr/>
        </xdr:nvSpPr>
        <xdr:spPr>
          <a:xfrm>
            <a:off x="1746250" y="1121833"/>
            <a:ext cx="4032251" cy="2328334"/>
          </a:xfrm>
          <a:prstGeom prst="roundRect">
            <a:avLst>
              <a:gd name="adj" fmla="val 11077"/>
            </a:avLst>
          </a:prstGeom>
          <a:gradFill>
            <a:gsLst>
              <a:gs pos="2000">
                <a:srgbClr val="EF8535"/>
              </a:gs>
              <a:gs pos="62000">
                <a:srgbClr val="7030A0"/>
              </a:gs>
              <a:gs pos="88000">
                <a:srgbClr val="00B0F0"/>
              </a:gs>
              <a:gs pos="100000">
                <a:srgbClr val="7030A0"/>
              </a:gs>
            </a:gsLst>
            <a:lin ang="7800000" scaled="0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56E68FDA-021B-4C43-B2DC-FB481237FD58}"/>
              </a:ext>
            </a:extLst>
          </xdr:cNvPr>
          <xdr:cNvSpPr/>
        </xdr:nvSpPr>
        <xdr:spPr>
          <a:xfrm>
            <a:off x="5863167" y="1136650"/>
            <a:ext cx="2370666" cy="1128183"/>
          </a:xfrm>
          <a:prstGeom prst="roundRect">
            <a:avLst>
              <a:gd name="adj" fmla="val 2778"/>
            </a:avLst>
          </a:prstGeom>
          <a:solidFill>
            <a:srgbClr val="14819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6EFC819F-BD02-4168-8797-4A72E4B31336}"/>
              </a:ext>
            </a:extLst>
          </xdr:cNvPr>
          <xdr:cNvSpPr/>
        </xdr:nvSpPr>
        <xdr:spPr>
          <a:xfrm>
            <a:off x="5871633" y="2338917"/>
            <a:ext cx="2362200" cy="1079499"/>
          </a:xfrm>
          <a:prstGeom prst="roundRect">
            <a:avLst>
              <a:gd name="adj" fmla="val 2778"/>
            </a:avLst>
          </a:prstGeom>
          <a:solidFill>
            <a:srgbClr val="7DA95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C6FE7BCE-7F56-454D-B265-82BE218BD126}"/>
              </a:ext>
            </a:extLst>
          </xdr:cNvPr>
          <xdr:cNvSpPr/>
        </xdr:nvSpPr>
        <xdr:spPr>
          <a:xfrm>
            <a:off x="8307917" y="1132417"/>
            <a:ext cx="5873750" cy="2317750"/>
          </a:xfrm>
          <a:prstGeom prst="roundRect">
            <a:avLst>
              <a:gd name="adj" fmla="val 2778"/>
            </a:avLst>
          </a:prstGeom>
          <a:solidFill>
            <a:srgbClr val="15273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81C06976-F968-4B6B-ACDE-4E0EFAA1B3A2}"/>
              </a:ext>
            </a:extLst>
          </xdr:cNvPr>
          <xdr:cNvSpPr/>
        </xdr:nvSpPr>
        <xdr:spPr>
          <a:xfrm>
            <a:off x="740833" y="1111249"/>
            <a:ext cx="920750" cy="6371167"/>
          </a:xfrm>
          <a:prstGeom prst="roundRect">
            <a:avLst>
              <a:gd name="adj" fmla="val 3572"/>
            </a:avLst>
          </a:prstGeom>
          <a:solidFill>
            <a:srgbClr val="15273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7FFF19D3-0396-4B40-B195-1FF7863C6A49}"/>
              </a:ext>
            </a:extLst>
          </xdr:cNvPr>
          <xdr:cNvSpPr/>
        </xdr:nvSpPr>
        <xdr:spPr>
          <a:xfrm>
            <a:off x="1735668" y="5577417"/>
            <a:ext cx="4057650" cy="1894415"/>
          </a:xfrm>
          <a:prstGeom prst="roundRect">
            <a:avLst>
              <a:gd name="adj" fmla="val 2778"/>
            </a:avLst>
          </a:prstGeom>
          <a:solidFill>
            <a:srgbClr val="15273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1D71485F-38E0-4520-90F9-AA94AC55AC6C}"/>
              </a:ext>
            </a:extLst>
          </xdr:cNvPr>
          <xdr:cNvSpPr/>
        </xdr:nvSpPr>
        <xdr:spPr>
          <a:xfrm>
            <a:off x="5867401" y="3545417"/>
            <a:ext cx="8314265" cy="3909481"/>
          </a:xfrm>
          <a:prstGeom prst="roundRect">
            <a:avLst>
              <a:gd name="adj" fmla="val 2778"/>
            </a:avLst>
          </a:prstGeom>
          <a:solidFill>
            <a:srgbClr val="15273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5085D2E-F24B-48EA-9231-05C5BA22B11D}"/>
              </a:ext>
            </a:extLst>
          </xdr:cNvPr>
          <xdr:cNvSpPr txBox="1"/>
        </xdr:nvSpPr>
        <xdr:spPr>
          <a:xfrm>
            <a:off x="1852084" y="1185333"/>
            <a:ext cx="709083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Income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572026-6BEE-4306-B3E2-4B8F0E667FA0}"/>
              </a:ext>
            </a:extLst>
          </xdr:cNvPr>
          <xdr:cNvSpPr txBox="1"/>
        </xdr:nvSpPr>
        <xdr:spPr>
          <a:xfrm>
            <a:off x="5884334" y="1189567"/>
            <a:ext cx="709083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Expense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48463FDE-971B-4B89-9AAE-EEA04DF1D232}"/>
              </a:ext>
            </a:extLst>
          </xdr:cNvPr>
          <xdr:cNvSpPr txBox="1"/>
        </xdr:nvSpPr>
        <xdr:spPr>
          <a:xfrm>
            <a:off x="5867400" y="2379133"/>
            <a:ext cx="1530350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Savings / Balance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E0F7B161-992B-4501-9BDE-D80A5E3179C9}"/>
              </a:ext>
            </a:extLst>
          </xdr:cNvPr>
          <xdr:cNvSpPr txBox="1"/>
        </xdr:nvSpPr>
        <xdr:spPr>
          <a:xfrm>
            <a:off x="1725081" y="423334"/>
            <a:ext cx="4646085" cy="4974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Personal Finance Tracker</a:t>
            </a:r>
          </a:p>
        </xdr:txBody>
      </xdr:sp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3765DBF8-4B06-46FE-A9CF-100B3E40AA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4917" y="402167"/>
            <a:ext cx="762000" cy="613834"/>
          </a:xfrm>
          <a:prstGeom prst="rect">
            <a:avLst/>
          </a:prstGeom>
        </xdr:spPr>
      </xdr:pic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25" name="Date">
                <a:extLst>
                  <a:ext uri="{FF2B5EF4-FFF2-40B4-BE49-F238E27FC236}">
                    <a16:creationId xmlns:a16="http://schemas.microsoft.com/office/drawing/2014/main" id="{851F2DC5-EFE8-4844-9E77-6D0DA58C7D30}"/>
                  </a:ext>
                </a:extLst>
              </xdr:cNvPr>
              <xdr:cNvGraphicFramePr/>
            </xdr:nvGraphicFramePr>
            <xdr:xfrm>
              <a:off x="14425085" y="296332"/>
              <a:ext cx="2960688" cy="1371600"/>
            </xdr:xfrm>
            <a:graphic>
              <a:graphicData uri="http://schemas.microsoft.com/office/drawing/2012/timeslicer">
                <tsle:timeslicer name="D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425085" y="296332"/>
                <a:ext cx="2960688" cy="1371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3925B39E-E8DE-4887-A373-284F35F0AE9F}"/>
              </a:ext>
            </a:extLst>
          </xdr:cNvPr>
          <xdr:cNvGraphicFramePr>
            <a:graphicFrameLocks/>
          </xdr:cNvGraphicFramePr>
        </xdr:nvGraphicFramePr>
        <xdr:xfrm>
          <a:off x="8307918" y="1397000"/>
          <a:ext cx="5905500" cy="2095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BBA9C690-95B4-48C8-82C8-E4B2853F1E46}"/>
              </a:ext>
            </a:extLst>
          </xdr:cNvPr>
          <xdr:cNvGraphicFramePr>
            <a:graphicFrameLocks/>
          </xdr:cNvGraphicFramePr>
        </xdr:nvGraphicFramePr>
        <xdr:xfrm>
          <a:off x="5867400" y="3619500"/>
          <a:ext cx="8324850" cy="38417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51E76D14-29D8-4690-82EE-E820335C06D1}"/>
              </a:ext>
            </a:extLst>
          </xdr:cNvPr>
          <xdr:cNvSpPr/>
        </xdr:nvSpPr>
        <xdr:spPr>
          <a:xfrm>
            <a:off x="1729318" y="3577167"/>
            <a:ext cx="4057650" cy="1930399"/>
          </a:xfrm>
          <a:prstGeom prst="roundRect">
            <a:avLst>
              <a:gd name="adj" fmla="val 2778"/>
            </a:avLst>
          </a:prstGeom>
          <a:solidFill>
            <a:srgbClr val="15273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7BA00B40-D1E0-4379-BF8A-D5B0E4062081}"/>
              </a:ext>
            </a:extLst>
          </xdr:cNvPr>
          <xdr:cNvGraphicFramePr>
            <a:graphicFrameLocks/>
          </xdr:cNvGraphicFramePr>
        </xdr:nvGraphicFramePr>
        <xdr:xfrm>
          <a:off x="1809750" y="3884082"/>
          <a:ext cx="4000500" cy="16827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8FD8C45D-5999-467B-980D-F6D9D96AA818}"/>
              </a:ext>
            </a:extLst>
          </xdr:cNvPr>
          <xdr:cNvGraphicFramePr>
            <a:graphicFrameLocks/>
          </xdr:cNvGraphicFramePr>
        </xdr:nvGraphicFramePr>
        <xdr:xfrm>
          <a:off x="1809750" y="5894917"/>
          <a:ext cx="3894667" cy="15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29D3FABE-DE19-4635-942D-703E4E1270E4}"/>
              </a:ext>
            </a:extLst>
          </xdr:cNvPr>
          <xdr:cNvGraphicFramePr>
            <a:graphicFrameLocks/>
          </xdr:cNvGraphicFramePr>
        </xdr:nvGraphicFramePr>
        <xdr:xfrm>
          <a:off x="1608664" y="2095500"/>
          <a:ext cx="4381504" cy="152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9F656711-B1AF-495E-BAE9-91DD9B877E64}"/>
              </a:ext>
            </a:extLst>
          </xdr:cNvPr>
          <xdr:cNvCxnSpPr/>
        </xdr:nvCxnSpPr>
        <xdr:spPr>
          <a:xfrm>
            <a:off x="5820833" y="1905000"/>
            <a:ext cx="2476500" cy="10583"/>
          </a:xfrm>
          <a:prstGeom prst="line">
            <a:avLst/>
          </a:prstGeom>
          <a:ln>
            <a:solidFill>
              <a:srgbClr val="15273A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AAD49D27-9A73-4387-96A8-753C7F684F6D}"/>
              </a:ext>
            </a:extLst>
          </xdr:cNvPr>
          <xdr:cNvCxnSpPr/>
        </xdr:nvCxnSpPr>
        <xdr:spPr>
          <a:xfrm>
            <a:off x="5842000" y="3058583"/>
            <a:ext cx="2523067" cy="4233"/>
          </a:xfrm>
          <a:prstGeom prst="line">
            <a:avLst/>
          </a:prstGeom>
          <a:ln>
            <a:solidFill>
              <a:srgbClr val="15273A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Calculation!L9">
        <xdr:nvSpPr>
          <xdr:cNvPr id="40" name="TextBox 39">
            <a:extLst>
              <a:ext uri="{FF2B5EF4-FFF2-40B4-BE49-F238E27FC236}">
                <a16:creationId xmlns:a16="http://schemas.microsoft.com/office/drawing/2014/main" id="{35440D76-FA22-46D0-9BE6-A0A20FFC2FDE}"/>
              </a:ext>
            </a:extLst>
          </xdr:cNvPr>
          <xdr:cNvSpPr txBox="1"/>
        </xdr:nvSpPr>
        <xdr:spPr>
          <a:xfrm>
            <a:off x="1820334" y="1397000"/>
            <a:ext cx="1439333" cy="43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1FEB96E-8555-4C1C-9CB0-1AE31B6FFEB5}" type="TxLink">
              <a:rPr lang="en-US" sz="2400" b="0" i="0" u="none" strike="noStrike">
                <a:solidFill>
                  <a:schemeClr val="bg1"/>
                </a:solidFill>
                <a:latin typeface="Segoe UI Semibold" panose="020B0702040204020203" pitchFamily="34" charset="0"/>
                <a:ea typeface="Calibri"/>
                <a:cs typeface="Segoe UI Semibold" panose="020B0702040204020203" pitchFamily="34" charset="0"/>
              </a:rPr>
              <a:pPr/>
              <a:t>$19,705</a:t>
            </a:fld>
            <a:endParaRPr lang="en-US" sz="24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Calculation!P9">
        <xdr:nvSpPr>
          <xdr:cNvPr id="41" name="TextBox 40">
            <a:extLst>
              <a:ext uri="{FF2B5EF4-FFF2-40B4-BE49-F238E27FC236}">
                <a16:creationId xmlns:a16="http://schemas.microsoft.com/office/drawing/2014/main" id="{3B72EC76-0258-4D68-B267-106FFE217765}"/>
              </a:ext>
            </a:extLst>
          </xdr:cNvPr>
          <xdr:cNvSpPr txBox="1"/>
        </xdr:nvSpPr>
        <xdr:spPr>
          <a:xfrm>
            <a:off x="5873752" y="1401233"/>
            <a:ext cx="984248" cy="450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7240E490-6FB8-4C80-BB92-B6DC7ED78C94}" type="TxLink">
              <a:rPr lang="en-US" sz="2400" b="0" i="0" u="none" strike="noStrike">
                <a:solidFill>
                  <a:schemeClr val="bg1"/>
                </a:solidFill>
                <a:latin typeface="Segoe UI Semibold" panose="020B0702040204020203" pitchFamily="34" charset="0"/>
                <a:ea typeface="Calibri"/>
                <a:cs typeface="Segoe UI Semibold" panose="020B0702040204020203" pitchFamily="34" charset="0"/>
              </a:rPr>
              <a:pPr marL="0" indent="0"/>
              <a:t>49%</a:t>
            </a:fld>
            <a:endParaRPr lang="en-US" sz="2400" b="0" i="0" u="none" strike="noStrike">
              <a:solidFill>
                <a:schemeClr val="bg1"/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endParaRPr>
          </a:p>
        </xdr:txBody>
      </xdr:sp>
      <xdr:sp macro="" textlink="Calculation!T9">
        <xdr:nvSpPr>
          <xdr:cNvPr id="42" name="TextBox 41">
            <a:extLst>
              <a:ext uri="{FF2B5EF4-FFF2-40B4-BE49-F238E27FC236}">
                <a16:creationId xmlns:a16="http://schemas.microsoft.com/office/drawing/2014/main" id="{85096C1B-03DB-468C-86CB-F1039EEE3868}"/>
              </a:ext>
            </a:extLst>
          </xdr:cNvPr>
          <xdr:cNvSpPr txBox="1"/>
        </xdr:nvSpPr>
        <xdr:spPr>
          <a:xfrm>
            <a:off x="5905500" y="2544233"/>
            <a:ext cx="963084" cy="43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E1D1F9F-B172-43D7-8786-AAAB986EEA80}" type="TxLink">
              <a:rPr lang="en-US" sz="2400" b="0" i="0" u="none" strike="noStrike">
                <a:solidFill>
                  <a:schemeClr val="bg1"/>
                </a:solidFill>
                <a:latin typeface="Segoe UI Semibold" panose="020B0702040204020203" pitchFamily="34" charset="0"/>
                <a:ea typeface="Calibri"/>
                <a:cs typeface="Segoe UI Semibold" panose="020B0702040204020203" pitchFamily="34" charset="0"/>
              </a:rPr>
              <a:pPr marL="0" indent="0"/>
              <a:t>51%</a:t>
            </a:fld>
            <a:endParaRPr lang="en-US" sz="2400" b="0" i="0" u="none" strike="noStrike">
              <a:solidFill>
                <a:schemeClr val="bg1"/>
              </a:solidFill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endParaRPr>
          </a:p>
        </xdr:txBody>
      </xdr:sp>
      <xdr:pic>
        <xdr:nvPicPr>
          <xdr:cNvPr id="50" name="Graphic 49" descr="Coins with solid fill">
            <a:extLst>
              <a:ext uri="{FF2B5EF4-FFF2-40B4-BE49-F238E27FC236}">
                <a16:creationId xmlns:a16="http://schemas.microsoft.com/office/drawing/2014/main" id="{C4DD9FD2-AB18-4900-B732-23F47A5880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567082" y="1227667"/>
            <a:ext cx="582083" cy="571500"/>
          </a:xfrm>
          <a:prstGeom prst="rect">
            <a:avLst/>
          </a:prstGeom>
        </xdr:spPr>
      </xdr:pic>
      <xdr:pic>
        <xdr:nvPicPr>
          <xdr:cNvPr id="52" name="Graphic 51" descr="Dollar with solid fill">
            <a:extLst>
              <a:ext uri="{FF2B5EF4-FFF2-40B4-BE49-F238E27FC236}">
                <a16:creationId xmlns:a16="http://schemas.microsoft.com/office/drawing/2014/main" id="{BA7E1EBA-FC06-434C-A629-6BE73B3458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28917" y="1218917"/>
            <a:ext cx="760167" cy="760167"/>
          </a:xfrm>
          <a:prstGeom prst="rect">
            <a:avLst/>
          </a:prstGeom>
        </xdr:spPr>
      </xdr:pic>
      <xdr:pic>
        <xdr:nvPicPr>
          <xdr:cNvPr id="54" name="Graphic 53" descr="Money with solid fill">
            <a:extLst>
              <a:ext uri="{FF2B5EF4-FFF2-40B4-BE49-F238E27FC236}">
                <a16:creationId xmlns:a16="http://schemas.microsoft.com/office/drawing/2014/main" id="{53352298-7148-42C8-942E-FC59D9115C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7581333" y="2370666"/>
            <a:ext cx="578416" cy="497417"/>
          </a:xfrm>
          <a:prstGeom prst="rect">
            <a:avLst/>
          </a:prstGeom>
        </xdr:spPr>
      </xdr:pic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583044B1-393C-4AB3-9792-824965D480F3}"/>
              </a:ext>
            </a:extLst>
          </xdr:cNvPr>
          <xdr:cNvSpPr txBox="1"/>
        </xdr:nvSpPr>
        <xdr:spPr>
          <a:xfrm>
            <a:off x="1873250" y="2021416"/>
            <a:ext cx="994833" cy="306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Last</a:t>
            </a:r>
            <a:r>
              <a:rPr lang="en-US" sz="1100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 sz="800" baseline="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Month</a:t>
            </a:r>
            <a:r>
              <a:rPr lang="en-US" sz="1100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Vs</a:t>
            </a:r>
            <a:endParaRPr lang="en-US" sz="11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33638466-4A1E-47A5-8080-2B54710DD51C}"/>
              </a:ext>
            </a:extLst>
          </xdr:cNvPr>
          <xdr:cNvSpPr txBox="1"/>
        </xdr:nvSpPr>
        <xdr:spPr>
          <a:xfrm>
            <a:off x="5894917" y="1919816"/>
            <a:ext cx="920750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7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Last</a:t>
            </a:r>
            <a:r>
              <a:rPr lang="en-US" sz="1050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 sz="1000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Month</a:t>
            </a:r>
            <a:r>
              <a:rPr lang="en-US" sz="1050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 sz="800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Vs</a:t>
            </a:r>
            <a:endParaRPr lang="en-US" sz="105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7457B541-3191-4063-92E9-D517275E414C}"/>
              </a:ext>
            </a:extLst>
          </xdr:cNvPr>
          <xdr:cNvSpPr txBox="1"/>
        </xdr:nvSpPr>
        <xdr:spPr>
          <a:xfrm>
            <a:off x="5892799" y="3079751"/>
            <a:ext cx="944034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70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Last</a:t>
            </a:r>
            <a:r>
              <a:rPr lang="en-US" sz="100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 Month </a:t>
            </a:r>
            <a:r>
              <a:rPr lang="en-US" sz="700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Vs</a:t>
            </a:r>
            <a:endParaRPr lang="en-US" sz="1000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sp macro="" textlink="Calculation!R9">
        <xdr:nvSpPr>
          <xdr:cNvPr id="58" name="TextBox 57">
            <a:extLst>
              <a:ext uri="{FF2B5EF4-FFF2-40B4-BE49-F238E27FC236}">
                <a16:creationId xmlns:a16="http://schemas.microsoft.com/office/drawing/2014/main" id="{7AFF70D4-5607-4EC8-98F5-F06467A0FCAC}"/>
              </a:ext>
            </a:extLst>
          </xdr:cNvPr>
          <xdr:cNvSpPr txBox="1"/>
        </xdr:nvSpPr>
        <xdr:spPr>
          <a:xfrm>
            <a:off x="6639985" y="1915583"/>
            <a:ext cx="1488016" cy="3428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681C427-5B77-418C-9CC6-673EFA98CE0A}" type="TxLink">
              <a: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▼57.4%</a:t>
            </a:fld>
            <a:endParaRPr lang="en-US" sz="12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Calculation!N9">
        <xdr:nvSpPr>
          <xdr:cNvPr id="60" name="TextBox 59">
            <a:extLst>
              <a:ext uri="{FF2B5EF4-FFF2-40B4-BE49-F238E27FC236}">
                <a16:creationId xmlns:a16="http://schemas.microsoft.com/office/drawing/2014/main" id="{7C009DA4-9EF0-4C9F-8986-2106B51CD772}"/>
              </a:ext>
            </a:extLst>
          </xdr:cNvPr>
          <xdr:cNvSpPr txBox="1"/>
        </xdr:nvSpPr>
        <xdr:spPr>
          <a:xfrm>
            <a:off x="2700867" y="2004485"/>
            <a:ext cx="812800" cy="2920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EC576FD-FEC9-4D93-83E1-ED5E6B38D883}" type="TxLink">
              <a: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▲59%</a:t>
            </a:fld>
            <a:endParaRPr lang="en-US" sz="16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39D46420-AD2D-4BC9-8764-B93F8774BCB9}"/>
              </a:ext>
            </a:extLst>
          </xdr:cNvPr>
          <xdr:cNvSpPr txBox="1"/>
        </xdr:nvSpPr>
        <xdr:spPr>
          <a:xfrm>
            <a:off x="12837583" y="582083"/>
            <a:ext cx="134408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Created</a:t>
            </a:r>
            <a:r>
              <a:rPr lang="en-US" sz="1200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by BJ</a:t>
            </a:r>
            <a:endParaRPr lang="en-US" sz="12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pic>
        <xdr:nvPicPr>
          <xdr:cNvPr id="63" name="Picture 62">
            <a:extLst>
              <a:ext uri="{FF2B5EF4-FFF2-40B4-BE49-F238E27FC236}">
                <a16:creationId xmlns:a16="http://schemas.microsoft.com/office/drawing/2014/main" id="{BD32E1D9-27A4-4E1A-9B35-84093D99FD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255500" y="444500"/>
            <a:ext cx="571500" cy="571500"/>
          </a:xfrm>
          <a:prstGeom prst="rect">
            <a:avLst/>
          </a:prstGeom>
        </xdr:spPr>
      </xdr:pic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1E1CF18-3D1C-4902-8104-07B78046212D}"/>
              </a:ext>
            </a:extLst>
          </xdr:cNvPr>
          <xdr:cNvSpPr txBox="1"/>
        </xdr:nvSpPr>
        <xdr:spPr>
          <a:xfrm>
            <a:off x="1813985" y="3608917"/>
            <a:ext cx="1625598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Income Sources Share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17C883D-28CC-4DEB-83B7-D6D3957C1C81}"/>
              </a:ext>
            </a:extLst>
          </xdr:cNvPr>
          <xdr:cNvSpPr txBox="1"/>
        </xdr:nvSpPr>
        <xdr:spPr>
          <a:xfrm>
            <a:off x="1828801" y="5560483"/>
            <a:ext cx="2372782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Expense Sources by</a:t>
            </a:r>
            <a:r>
              <a:rPr lang="en-US" sz="1100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Payment Type</a:t>
            </a:r>
            <a:endParaRPr lang="en-US" sz="11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3D0544D1-4925-4D82-AB5C-E72A2CFE70E4}"/>
              </a:ext>
            </a:extLst>
          </xdr:cNvPr>
          <xdr:cNvSpPr txBox="1"/>
        </xdr:nvSpPr>
        <xdr:spPr>
          <a:xfrm>
            <a:off x="8320618" y="1130299"/>
            <a:ext cx="2865965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Income Vs Expense Vs Savings Over Time</a:t>
            </a:r>
          </a:p>
        </xdr:txBody>
      </xdr:sp>
      <xdr:sp macro="" textlink="">
        <xdr:nvSpPr>
          <xdr:cNvPr id="67" name="Rectangle: Rounded Corners 66">
            <a:extLst>
              <a:ext uri="{FF2B5EF4-FFF2-40B4-BE49-F238E27FC236}">
                <a16:creationId xmlns:a16="http://schemas.microsoft.com/office/drawing/2014/main" id="{54C1E656-B136-49CD-9A9F-16DBD4439B77}"/>
              </a:ext>
            </a:extLst>
          </xdr:cNvPr>
          <xdr:cNvSpPr/>
        </xdr:nvSpPr>
        <xdr:spPr>
          <a:xfrm>
            <a:off x="8625417" y="508000"/>
            <a:ext cx="3227916" cy="455083"/>
          </a:xfrm>
          <a:prstGeom prst="roundRect">
            <a:avLst/>
          </a:prstGeom>
          <a:solidFill>
            <a:srgbClr val="0E203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1FABF95-09BE-450E-9725-38D75EDE4E99}"/>
              </a:ext>
            </a:extLst>
          </xdr:cNvPr>
          <xdr:cNvSpPr txBox="1"/>
        </xdr:nvSpPr>
        <xdr:spPr>
          <a:xfrm>
            <a:off x="8657166" y="592668"/>
            <a:ext cx="994834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solidFill>
                  <a:schemeClr val="bg1">
                    <a:lumMod val="8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Search Here</a:t>
            </a:r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A263BD7F-BC16-4CC4-A227-3AAAC6BED319}"/>
              </a:ext>
            </a:extLst>
          </xdr:cNvPr>
          <xdr:cNvSpPr txBox="1"/>
        </xdr:nvSpPr>
        <xdr:spPr>
          <a:xfrm>
            <a:off x="770469" y="4353982"/>
            <a:ext cx="817032" cy="5566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Follow Us</a:t>
            </a:r>
          </a:p>
          <a:p>
            <a:pPr algn="ctr"/>
            <a:r>
              <a:rPr lang="en-US" sz="11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On</a:t>
            </a:r>
          </a:p>
        </xdr:txBody>
      </xdr:sp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D247472F-F473-4D3D-8C6B-CEE448E528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3251" y="4826010"/>
            <a:ext cx="1174750" cy="1174750"/>
          </a:xfrm>
          <a:prstGeom prst="rect">
            <a:avLst/>
          </a:prstGeom>
        </xdr:spPr>
      </xdr:pic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356F7892-5A00-4CAC-A17B-8CB107FA3A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8581" y="6297083"/>
            <a:ext cx="1333502" cy="1333502"/>
          </a:xfrm>
          <a:prstGeom prst="rect">
            <a:avLst/>
          </a:prstGeom>
        </xdr:spPr>
      </xdr:pic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FF6EC0EC-846E-42F0-955E-5DA91C4FB8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1333" y="5894917"/>
            <a:ext cx="554691" cy="571500"/>
          </a:xfrm>
          <a:prstGeom prst="rect">
            <a:avLst/>
          </a:prstGeom>
        </xdr:spPr>
      </xdr:pic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E33376D5-BF41-4EFF-8066-E452D5DE63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duotone>
              <a:prstClr val="black"/>
              <a:schemeClr val="accent3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51167" y="571501"/>
            <a:ext cx="328082" cy="328082"/>
          </a:xfrm>
          <a:prstGeom prst="rect">
            <a:avLst/>
          </a:prstGeom>
        </xdr:spPr>
      </xdr:pic>
      <xdr:sp macro="" textlink="Calculation!V9">
        <xdr:nvSpPr>
          <xdr:cNvPr id="62" name="TextBox 61">
            <a:extLst>
              <a:ext uri="{FF2B5EF4-FFF2-40B4-BE49-F238E27FC236}">
                <a16:creationId xmlns:a16="http://schemas.microsoft.com/office/drawing/2014/main" id="{B8174DA7-86D6-4BE1-A8FE-4C6DDC2BAB8E}"/>
              </a:ext>
            </a:extLst>
          </xdr:cNvPr>
          <xdr:cNvSpPr txBox="1"/>
        </xdr:nvSpPr>
        <xdr:spPr>
          <a:xfrm>
            <a:off x="6667501" y="3052233"/>
            <a:ext cx="1401234" cy="3428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A7A5B72-79BF-41CA-A713-1BD187D28B6E}" type="TxLink">
              <a:rPr lang="en-US" sz="12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ea typeface="Calibri"/>
                <a:cs typeface="Calibri"/>
              </a:rPr>
              <a:pPr/>
              <a:t>▲60.8%</a:t>
            </a:fld>
            <a:endParaRPr lang="en-US" sz="1200">
              <a:solidFill>
                <a:schemeClr val="bg1">
                  <a:lumMod val="9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0.0061</cdr:x>
      <cdr:y>0.01424</cdr:y>
    </cdr:from>
    <cdr:to>
      <cdr:x>0.32494</cdr:x>
      <cdr:y>0.11217</cdr:y>
    </cdr:to>
    <cdr:sp macro="" textlink="">
      <cdr:nvSpPr>
        <cdr:cNvPr id="2" name="TextBox 64">
          <a:extLst xmlns:a="http://schemas.openxmlformats.org/drawingml/2006/main">
            <a:ext uri="{FF2B5EF4-FFF2-40B4-BE49-F238E27FC236}">
              <a16:creationId xmlns:a16="http://schemas.microsoft.com/office/drawing/2014/main" id="{017C883D-28CC-4DEB-83B7-D6D3957C1C8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2654300" cy="3492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Expense Sources by</a:t>
          </a:r>
          <a:r>
            <a:rPr lang="en-US" sz="1100" baseline="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Category Type</a:t>
          </a:r>
          <a:endParaRPr lang="en-US" sz="1100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cdr:txBody>
    </cdr:sp>
  </cdr:relSizeAnchor>
  <cdr:relSizeAnchor xmlns:cdr="http://schemas.openxmlformats.org/drawingml/2006/chartDrawing">
    <cdr:from>
      <cdr:x>0.0061</cdr:x>
      <cdr:y>0.01424</cdr:y>
    </cdr:from>
    <cdr:to>
      <cdr:x>0.32494</cdr:x>
      <cdr:y>0.11217</cdr:y>
    </cdr:to>
    <cdr:sp macro="" textlink="">
      <cdr:nvSpPr>
        <cdr:cNvPr id="6" name="TextBox 64">
          <a:extLst xmlns:a="http://schemas.openxmlformats.org/drawingml/2006/main">
            <a:ext uri="{FF2B5EF4-FFF2-40B4-BE49-F238E27FC236}">
              <a16:creationId xmlns:a16="http://schemas.microsoft.com/office/drawing/2014/main" id="{2FDE3FF6-624E-4F56-BA40-0FFCDE4FDFD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2654300" cy="3492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Expense Sources by</a:t>
          </a:r>
          <a:r>
            <a:rPr lang="en-US" sz="1100" baseline="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Category Type</a:t>
          </a:r>
          <a:endParaRPr lang="en-US" sz="1100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J" refreshedDate="45988.7971869213" createdVersion="5" refreshedVersion="7" minRefreshableVersion="3" recordCount="0" supportSubquery="1" supportAdvancedDrill="1" xr:uid="{9E7D6A1A-6E75-42F0-8B98-D796998DCCA1}">
  <cacheSource type="external" connectionId="4"/>
  <cacheFields count="4">
    <cacheField name="[Measures].[Expense %]" caption="Expense %" numFmtId="0" hierarchy="20" level="32767"/>
    <cacheField name="[Measures].[Saving %]" caption="Saving %" numFmtId="0" hierarchy="21" level="32767"/>
    <cacheField name="[Calendar].[Month Name Short].[Month Name Short]" caption="Month Name Short" numFmtId="0" hierarchy="8" level="1">
      <sharedItems count="3">
        <s v="Jan"/>
        <s v="Feb"/>
        <s v="Mar"/>
      </sharedItems>
    </cacheField>
    <cacheField name="[Measures].[Income %]" caption="Income %" numFmtId="0" hierarchy="22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Month Name Short]" caption="Month Name Short" attribute="1" time="1" defaultMemberUniqueName="[Calendar].[Month Name Short].[All]" allUniqueName="[Calendar].[Month Name Short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key measures].[Column1]" caption="Column1" attribute="1" defaultMemberUniqueName="[key measures].[Column1].[All]" allUniqueName="[key measures].[Column1].[All]" dimensionUniqueName="[key measures]" displayFolder="" count="0" memberValueDatatype="130" unbalanced="0"/>
    <cacheHierarchy uniqueName="[personal_transactions].[Date]" caption="Date" attribute="1" time="1" defaultMemberUniqueName="[personal_transactions].[Date].[All]" allUniqueName="[personal_transactions].[Date].[All]" dimensionUniqueName="[personal_transactions]" displayFolder="" count="0" memberValueDatatype="7" unbalanced="0"/>
    <cacheHierarchy uniqueName="[personal_transactions].[Description]" caption="Description" attribute="1" defaultMemberUniqueName="[personal_transactions].[Description].[All]" allUniqueName="[personal_transactions].[Description].[All]" dimensionUniqueName="[personal_transactions]" displayFolder="" count="0" memberValueDatatype="130" unbalanced="0"/>
    <cacheHierarchy uniqueName="[personal_transactions].[Amount]" caption="Amount" attribute="1" defaultMemberUniqueName="[personal_transactions].[Amount].[All]" allUniqueName="[personal_transactions].[Amount].[All]" dimensionUniqueName="[personal_transactions]" displayFolder="" count="0" memberValueDatatype="5" unbalanced="0"/>
    <cacheHierarchy uniqueName="[personal_transactions].[Transaction Type]" caption="Transaction Type" attribute="1" defaultMemberUniqueName="[personal_transactions].[Transaction Type].[All]" allUniqueName="[personal_transactions].[Transaction Type].[All]" dimensionUniqueName="[personal_transactions]" displayFolder="" count="0" memberValueDatatype="130" unbalanced="0"/>
    <cacheHierarchy uniqueName="[personal_transactions].[Category]" caption="Category" attribute="1" defaultMemberUniqueName="[personal_transactions].[Category].[All]" allUniqueName="[personal_transactions].[Category].[All]" dimensionUniqueName="[personal_transactions]" displayFolder="" count="0" memberValueDatatype="130" unbalanced="0"/>
    <cacheHierarchy uniqueName="[personal_transactions].[Account Name]" caption="Account Name" attribute="1" defaultMemberUniqueName="[personal_transactions].[Account Name].[All]" allUniqueName="[personal_transactions].[Account Name].[All]" dimensionUniqueName="[personal_transactions]" displayFolder="" count="0" memberValueDatatype="130" unbalanced="0"/>
    <cacheHierarchy uniqueName="[Measures].[Income]" caption="Income" measure="1" displayFolder="" measureGroup="key measures" count="0"/>
    <cacheHierarchy uniqueName="[Measures].[Expense]" caption="Expense" measure="1" displayFolder="" measureGroup="key measures" count="0"/>
    <cacheHierarchy uniqueName="[Measures].[Savings]" caption="Savings" measure="1" displayFolder="" measureGroup="key measures" count="0"/>
    <cacheHierarchy uniqueName="[Measures].[Expense %]" caption="Expense %" measure="1" displayFolder="" measureGroup="key measures" count="0" oneField="1">
      <fieldsUsage count="1">
        <fieldUsage x="0"/>
      </fieldsUsage>
    </cacheHierarchy>
    <cacheHierarchy uniqueName="[Measures].[Saving %]" caption="Saving %" measure="1" displayFolder="" measureGroup="key measures" count="0" oneField="1">
      <fieldsUsage count="1">
        <fieldUsage x="1"/>
      </fieldsUsage>
    </cacheHierarchy>
    <cacheHierarchy uniqueName="[Measures].[Income %]" caption="Income %" measure="1" displayFolder="" measureGroup="key measures" count="0" oneField="1">
      <fieldsUsage count="1">
        <fieldUsage x="3"/>
      </fieldsUsage>
    </cacheHierarchy>
    <cacheHierarchy uniqueName="[Measures].[PM income]" caption="PM income" measure="1" displayFolder="" measureGroup="key measures" count="0"/>
    <cacheHierarchy uniqueName="[Measures].[PM Expense]" caption="PM Expense" measure="1" displayFolder="" measureGroup="key measures" count="0"/>
    <cacheHierarchy uniqueName="[Measures].[PM Savings]" caption="PM Savings" measure="1" displayFolder="" measureGroup="key measures" count="0"/>
    <cacheHierarchy uniqueName="[Measures].[MoM Income]" caption="MoM Income" measure="1" displayFolder="" measureGroup="key measures" count="0"/>
    <cacheHierarchy uniqueName="[Measures].[MoM Expense]" caption="MoM Expense" measure="1" displayFolder="" measureGroup="key measures" count="0"/>
    <cacheHierarchy uniqueName="[Measures].[MoM Savings]" caption="MoM Savings" measure="1" displayFolder="" measureGroup="key measures" count="0"/>
    <cacheHierarchy uniqueName="[Measures].[Count]" caption="Count" measure="1" displayFolder="" measureGroup="key measures" count="0"/>
    <cacheHierarchy uniqueName="[Measures].[__XL_Count personal_transactions]" caption="__XL_Count personal_transactions" measure="1" displayFolder="" measureGroup="personal_transactions" count="0" hidden="1"/>
    <cacheHierarchy uniqueName="[Measures].[__XL_Count Calendar]" caption="__XL_Count Calendar" measure="1" displayFolder="" measureGroup="Calendar" count="0" hidden="1"/>
    <cacheHierarchy uniqueName="[Measures].[__XL_Count key measures]" caption="__XL_Count key measures" measure="1" displayFolder="" measureGroup="key measures" count="0" hidden="1"/>
    <cacheHierarchy uniqueName="[Measures].[__No measures defined]" caption="__No measures defined" measure="1" displayFolder="" count="0" hidden="1"/>
  </cacheHierarchies>
  <kpis count="0"/>
  <dimensions count="4">
    <dimension name="Calendar" uniqueName="[Calendar]" caption="Calendar"/>
    <dimension name="key measures" uniqueName="[key measures]" caption="key measures"/>
    <dimension measure="1" name="Measures" uniqueName="[Measures]" caption="Measures"/>
    <dimension name="personal_transactions" uniqueName="[personal_transactions]" caption="personal_transactions"/>
  </dimensions>
  <measureGroups count="3">
    <measureGroup name="Calendar" caption="Calendar"/>
    <measureGroup name="key measures" caption="key measures"/>
    <measureGroup name="personal_transactions" caption="personal_transactions"/>
  </measureGroups>
  <maps count="4">
    <map measureGroup="0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J" refreshedDate="45988.797188194447" createdVersion="5" refreshedVersion="7" minRefreshableVersion="3" recordCount="0" supportSubquery="1" supportAdvancedDrill="1" xr:uid="{EEDB2392-A879-4AB0-BE5F-120AD567465D}">
  <cacheSource type="external" connectionId="4"/>
  <cacheFields count="13">
    <cacheField name="[Measures].[Expense %]" caption="Expense %" numFmtId="0" hierarchy="20" level="32767"/>
    <cacheField name="[Measures].[Income]" caption="Income" numFmtId="0" hierarchy="17" level="32767"/>
    <cacheField name="[personal_transactions].[Date].[Date]" caption="Date" numFmtId="0" hierarchy="11" level="1">
      <sharedItems containsSemiMixedTypes="0" containsNonDate="0" containsString="0"/>
    </cacheField>
    <cacheField name="[Measures].[MoM Income]" caption="MoM Income" numFmtId="0" hierarchy="26" level="32767"/>
    <cacheField name="[Measures].[MoM Expense]" caption="MoM Expense" numFmtId="0" hierarchy="27" level="32767"/>
    <cacheField name="[Measures].[MoM Savings]" caption="MoM Savings" numFmtId="0" hierarchy="28" level="32767"/>
    <cacheField name="[Measures].[Saving %]" caption="Saving %" numFmtId="0" hierarchy="21" level="32767"/>
    <cacheField name="[Measures].[PM income]" caption="PM income" numFmtId="0" hierarchy="23" level="32767"/>
    <cacheField name="[Measures].[PM Expense]" caption="PM Expense" numFmtId="0" hierarchy="24" level="32767"/>
    <cacheField name="[Measures].[PM Savings]" caption="PM Savings" numFmtId="0" hierarchy="25" level="32767"/>
    <cacheField name="[Measures].[Expense]" caption="Expense" numFmtId="0" hierarchy="18" level="32767"/>
    <cacheField name="[Measures].[Savings]" caption="Savings" numFmtId="0" hierarchy="19" level="32767"/>
    <cacheField name="[Calendar].[Date].[Date]" caption="Date" numFmtId="0" level="1">
      <sharedItems containsSemiMixedTypes="0" containsNonDate="0" containsString="0"/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12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Month Name Short]" caption="Month Name Short" attribute="1" time="1" defaultMemberUniqueName="[Calendar].[Month Name Short].[All]" allUniqueName="[Calendar].[Month Name Short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key measures].[Column1]" caption="Column1" attribute="1" defaultMemberUniqueName="[key measures].[Column1].[All]" allUniqueName="[key measures].[Column1].[All]" dimensionUniqueName="[key measures]" displayFolder="" count="0" memberValueDatatype="130" unbalanced="0"/>
    <cacheHierarchy uniqueName="[personal_transactions].[Date]" caption="Date" attribute="1" time="1" defaultMemberUniqueName="[personal_transactions].[Date].[All]" allUniqueName="[personal_transactions].[Date].[All]" dimensionUniqueName="[personal_transactions]" displayFolder="" count="2" memberValueDatatype="7" unbalanced="0">
      <fieldsUsage count="2">
        <fieldUsage x="-1"/>
        <fieldUsage x="2"/>
      </fieldsUsage>
    </cacheHierarchy>
    <cacheHierarchy uniqueName="[personal_transactions].[Description]" caption="Description" attribute="1" defaultMemberUniqueName="[personal_transactions].[Description].[All]" allUniqueName="[personal_transactions].[Description].[All]" dimensionUniqueName="[personal_transactions]" displayFolder="" count="0" memberValueDatatype="130" unbalanced="0"/>
    <cacheHierarchy uniqueName="[personal_transactions].[Amount]" caption="Amount" attribute="1" defaultMemberUniqueName="[personal_transactions].[Amount].[All]" allUniqueName="[personal_transactions].[Amount].[All]" dimensionUniqueName="[personal_transactions]" displayFolder="" count="0" memberValueDatatype="5" unbalanced="0"/>
    <cacheHierarchy uniqueName="[personal_transactions].[Transaction Type]" caption="Transaction Type" attribute="1" defaultMemberUniqueName="[personal_transactions].[Transaction Type].[All]" allUniqueName="[personal_transactions].[Transaction Type].[All]" dimensionUniqueName="[personal_transactions]" displayFolder="" count="0" memberValueDatatype="130" unbalanced="0"/>
    <cacheHierarchy uniqueName="[personal_transactions].[Category]" caption="Category" attribute="1" defaultMemberUniqueName="[personal_transactions].[Category].[All]" allUniqueName="[personal_transactions].[Category].[All]" dimensionUniqueName="[personal_transactions]" displayFolder="" count="0" memberValueDatatype="130" unbalanced="0"/>
    <cacheHierarchy uniqueName="[personal_transactions].[Account Name]" caption="Account Name" attribute="1" defaultMemberUniqueName="[personal_transactions].[Account Name].[All]" allUniqueName="[personal_transactions].[Account Name].[All]" dimensionUniqueName="[personal_transactions]" displayFolder="" count="0" memberValueDatatype="130" unbalanced="0"/>
    <cacheHierarchy uniqueName="[Measures].[Income]" caption="Income" measure="1" displayFolder="" measureGroup="key measures" count="0" oneField="1">
      <fieldsUsage count="1">
        <fieldUsage x="1"/>
      </fieldsUsage>
    </cacheHierarchy>
    <cacheHierarchy uniqueName="[Measures].[Expense]" caption="Expense" measure="1" displayFolder="" measureGroup="key measures" count="0" oneField="1">
      <fieldsUsage count="1">
        <fieldUsage x="10"/>
      </fieldsUsage>
    </cacheHierarchy>
    <cacheHierarchy uniqueName="[Measures].[Savings]" caption="Savings" measure="1" displayFolder="" measureGroup="key measures" count="0" oneField="1">
      <fieldsUsage count="1">
        <fieldUsage x="11"/>
      </fieldsUsage>
    </cacheHierarchy>
    <cacheHierarchy uniqueName="[Measures].[Expense %]" caption="Expense %" measure="1" displayFolder="" measureGroup="key measures" count="0" oneField="1">
      <fieldsUsage count="1">
        <fieldUsage x="0"/>
      </fieldsUsage>
    </cacheHierarchy>
    <cacheHierarchy uniqueName="[Measures].[Saving %]" caption="Saving %" measure="1" displayFolder="" measureGroup="key measures" count="0" oneField="1">
      <fieldsUsage count="1">
        <fieldUsage x="6"/>
      </fieldsUsage>
    </cacheHierarchy>
    <cacheHierarchy uniqueName="[Measures].[Income %]" caption="Income %" measure="1" displayFolder="" measureGroup="key measures" count="0"/>
    <cacheHierarchy uniqueName="[Measures].[PM income]" caption="PM income" measure="1" displayFolder="" measureGroup="key measures" count="0" oneField="1">
      <fieldsUsage count="1">
        <fieldUsage x="7"/>
      </fieldsUsage>
    </cacheHierarchy>
    <cacheHierarchy uniqueName="[Measures].[PM Expense]" caption="PM Expense" measure="1" displayFolder="" measureGroup="key measures" count="0" oneField="1">
      <fieldsUsage count="1">
        <fieldUsage x="8"/>
      </fieldsUsage>
    </cacheHierarchy>
    <cacheHierarchy uniqueName="[Measures].[PM Savings]" caption="PM Savings" measure="1" displayFolder="" measureGroup="key measures" count="0" oneField="1">
      <fieldsUsage count="1">
        <fieldUsage x="9"/>
      </fieldsUsage>
    </cacheHierarchy>
    <cacheHierarchy uniqueName="[Measures].[MoM Income]" caption="MoM Income" measure="1" displayFolder="" measureGroup="key measures" count="0" oneField="1">
      <fieldsUsage count="1">
        <fieldUsage x="3"/>
      </fieldsUsage>
    </cacheHierarchy>
    <cacheHierarchy uniqueName="[Measures].[MoM Expense]" caption="MoM Expense" measure="1" displayFolder="" measureGroup="key measures" count="0" oneField="1">
      <fieldsUsage count="1">
        <fieldUsage x="4"/>
      </fieldsUsage>
    </cacheHierarchy>
    <cacheHierarchy uniqueName="[Measures].[MoM Savings]" caption="MoM Savings" measure="1" displayFolder="" measureGroup="key measures" count="0" oneField="1">
      <fieldsUsage count="1">
        <fieldUsage x="5"/>
      </fieldsUsage>
    </cacheHierarchy>
    <cacheHierarchy uniqueName="[Measures].[Count]" caption="Count" measure="1" displayFolder="" measureGroup="key measures" count="0"/>
    <cacheHierarchy uniqueName="[Measures].[__XL_Count personal_transactions]" caption="__XL_Count personal_transactions" measure="1" displayFolder="" measureGroup="personal_transactions" count="0" hidden="1"/>
    <cacheHierarchy uniqueName="[Measures].[__XL_Count Calendar]" caption="__XL_Count Calendar" measure="1" displayFolder="" measureGroup="Calendar" count="0" hidden="1"/>
    <cacheHierarchy uniqueName="[Measures].[__XL_Count key measures]" caption="__XL_Count key measures" measure="1" displayFolder="" measureGroup="key measures" count="0" hidden="1"/>
    <cacheHierarchy uniqueName="[Measures].[__No measures defined]" caption="__No measures defined" measure="1" displayFolder="" count="0" hidden="1"/>
  </cacheHierarchies>
  <kpis count="0"/>
  <dimensions count="4">
    <dimension name="Calendar" uniqueName="[Calendar]" caption="Calendar"/>
    <dimension name="key measures" uniqueName="[key measures]" caption="key measures"/>
    <dimension measure="1" name="Measures" uniqueName="[Measures]" caption="Measures"/>
    <dimension name="personal_transactions" uniqueName="[personal_transactions]" caption="personal_transactions"/>
  </dimensions>
  <measureGroups count="3">
    <measureGroup name="Calendar" caption="Calendar"/>
    <measureGroup name="key measures" caption="key measures"/>
    <measureGroup name="personal_transactions" caption="personal_transactions"/>
  </measureGroups>
  <maps count="4">
    <map measureGroup="0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J" refreshedDate="45988.797188888886" createdVersion="5" refreshedVersion="7" minRefreshableVersion="3" recordCount="0" supportSubquery="1" supportAdvancedDrill="1" xr:uid="{D7D8BE45-7421-4242-BE11-DBDC09CA9086}">
  <cacheSource type="external" connectionId="4"/>
  <cacheFields count="3">
    <cacheField name="[personal_transactions].[Category].[Category]" caption="Category" numFmtId="0" hierarchy="15" level="1">
      <sharedItems count="17">
        <s v="Alcohol &amp; Bars"/>
        <s v="Coffee Shops"/>
        <s v="Credit Card Payment"/>
        <s v="Fast Food"/>
        <s v="Gas &amp; Fuel"/>
        <s v="Groceries"/>
        <s v="Haircut"/>
        <s v="Home Improvement"/>
        <s v="Internet"/>
        <s v="Mobile Phone"/>
        <s v="Mortgage &amp; Rent"/>
        <s v="Movies &amp; DVDs"/>
        <s v="Music"/>
        <s v="Paycheck"/>
        <s v="Restaurants"/>
        <s v="Shopping"/>
        <s v="Utilities"/>
      </sharedItems>
    </cacheField>
    <cacheField name="[Measures].[Count]" caption="Count" numFmtId="0" hierarchy="29" level="32767"/>
    <cacheField name="[Calendar].[Date].[Date]" caption="Date" numFmtId="0" level="1">
      <sharedItems containsSemiMixedTypes="0" containsNonDate="0" containsString="0"/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2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Month Name Short]" caption="Month Name Short" attribute="1" time="1" defaultMemberUniqueName="[Calendar].[Month Name Short].[All]" allUniqueName="[Calendar].[Month Name Short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key measures].[Column1]" caption="Column1" attribute="1" defaultMemberUniqueName="[key measures].[Column1].[All]" allUniqueName="[key measures].[Column1].[All]" dimensionUniqueName="[key measures]" displayFolder="" count="0" memberValueDatatype="130" unbalanced="0"/>
    <cacheHierarchy uniqueName="[personal_transactions].[Date]" caption="Date" attribute="1" time="1" defaultMemberUniqueName="[personal_transactions].[Date].[All]" allUniqueName="[personal_transactions].[Date].[All]" dimensionUniqueName="[personal_transactions]" displayFolder="" count="0" memberValueDatatype="7" unbalanced="0"/>
    <cacheHierarchy uniqueName="[personal_transactions].[Description]" caption="Description" attribute="1" defaultMemberUniqueName="[personal_transactions].[Description].[All]" allUniqueName="[personal_transactions].[Description].[All]" dimensionUniqueName="[personal_transactions]" displayFolder="" count="0" memberValueDatatype="130" unbalanced="0"/>
    <cacheHierarchy uniqueName="[personal_transactions].[Amount]" caption="Amount" attribute="1" defaultMemberUniqueName="[personal_transactions].[Amount].[All]" allUniqueName="[personal_transactions].[Amount].[All]" dimensionUniqueName="[personal_transactions]" displayFolder="" count="0" memberValueDatatype="5" unbalanced="0"/>
    <cacheHierarchy uniqueName="[personal_transactions].[Transaction Type]" caption="Transaction Type" attribute="1" defaultMemberUniqueName="[personal_transactions].[Transaction Type].[All]" allUniqueName="[personal_transactions].[Transaction Type].[All]" dimensionUniqueName="[personal_transactions]" displayFolder="" count="0" memberValueDatatype="130" unbalanced="0"/>
    <cacheHierarchy uniqueName="[personal_transactions].[Category]" caption="Category" attribute="1" defaultMemberUniqueName="[personal_transactions].[Category].[All]" allUniqueName="[personal_transactions].[Category].[All]" dimensionUniqueName="[personal_transactions]" displayFolder="" count="2" memberValueDatatype="130" unbalanced="0">
      <fieldsUsage count="2">
        <fieldUsage x="-1"/>
        <fieldUsage x="0"/>
      </fieldsUsage>
    </cacheHierarchy>
    <cacheHierarchy uniqueName="[personal_transactions].[Account Name]" caption="Account Name" attribute="1" defaultMemberUniqueName="[personal_transactions].[Account Name].[All]" allUniqueName="[personal_transactions].[Account Name].[All]" dimensionUniqueName="[personal_transactions]" displayFolder="" count="0" memberValueDatatype="130" unbalanced="0"/>
    <cacheHierarchy uniqueName="[Measures].[Income]" caption="Income" measure="1" displayFolder="" measureGroup="key measures" count="0"/>
    <cacheHierarchy uniqueName="[Measures].[Expense]" caption="Expense" measure="1" displayFolder="" measureGroup="key measures" count="0"/>
    <cacheHierarchy uniqueName="[Measures].[Savings]" caption="Savings" measure="1" displayFolder="" measureGroup="key measures" count="0"/>
    <cacheHierarchy uniqueName="[Measures].[Expense %]" caption="Expense %" measure="1" displayFolder="" measureGroup="key measures" count="0"/>
    <cacheHierarchy uniqueName="[Measures].[Saving %]" caption="Saving %" measure="1" displayFolder="" measureGroup="key measures" count="0"/>
    <cacheHierarchy uniqueName="[Measures].[Income %]" caption="Income %" measure="1" displayFolder="" measureGroup="key measures" count="0"/>
    <cacheHierarchy uniqueName="[Measures].[PM income]" caption="PM income" measure="1" displayFolder="" measureGroup="key measures" count="0"/>
    <cacheHierarchy uniqueName="[Measures].[PM Expense]" caption="PM Expense" measure="1" displayFolder="" measureGroup="key measures" count="0"/>
    <cacheHierarchy uniqueName="[Measures].[PM Savings]" caption="PM Savings" measure="1" displayFolder="" measureGroup="key measures" count="0"/>
    <cacheHierarchy uniqueName="[Measures].[MoM Income]" caption="MoM Income" measure="1" displayFolder="" measureGroup="key measures" count="0"/>
    <cacheHierarchy uniqueName="[Measures].[MoM Expense]" caption="MoM Expense" measure="1" displayFolder="" measureGroup="key measures" count="0"/>
    <cacheHierarchy uniqueName="[Measures].[MoM Savings]" caption="MoM Savings" measure="1" displayFolder="" measureGroup="key measures" count="0"/>
    <cacheHierarchy uniqueName="[Measures].[Count]" caption="Count" measure="1" displayFolder="" measureGroup="key measures" count="0" oneField="1">
      <fieldsUsage count="1">
        <fieldUsage x="1"/>
      </fieldsUsage>
    </cacheHierarchy>
    <cacheHierarchy uniqueName="[Measures].[__XL_Count personal_transactions]" caption="__XL_Count personal_transactions" measure="1" displayFolder="" measureGroup="personal_transactions" count="0" hidden="1"/>
    <cacheHierarchy uniqueName="[Measures].[__XL_Count Calendar]" caption="__XL_Count Calendar" measure="1" displayFolder="" measureGroup="Calendar" count="0" hidden="1"/>
    <cacheHierarchy uniqueName="[Measures].[__XL_Count key measures]" caption="__XL_Count key measures" measure="1" displayFolder="" measureGroup="key measures" count="0" hidden="1"/>
    <cacheHierarchy uniqueName="[Measures].[__No measures defined]" caption="__No measures defined" measure="1" displayFolder="" count="0" hidden="1"/>
  </cacheHierarchies>
  <kpis count="0"/>
  <dimensions count="4">
    <dimension name="Calendar" uniqueName="[Calendar]" caption="Calendar"/>
    <dimension name="key measures" uniqueName="[key measures]" caption="key measures"/>
    <dimension measure="1" name="Measures" uniqueName="[Measures]" caption="Measures"/>
    <dimension name="personal_transactions" uniqueName="[personal_transactions]" caption="personal_transactions"/>
  </dimensions>
  <measureGroups count="3">
    <measureGroup name="Calendar" caption="Calendar"/>
    <measureGroup name="key measures" caption="key measures"/>
    <measureGroup name="personal_transactions" caption="personal_transactions"/>
  </measureGroups>
  <maps count="4">
    <map measureGroup="0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J" refreshedDate="45988.797189467594" createdVersion="5" refreshedVersion="7" minRefreshableVersion="3" recordCount="0" supportSubquery="1" supportAdvancedDrill="1" xr:uid="{606FAA18-E907-4B03-A3BB-55FE7B2E4D49}">
  <cacheSource type="external" connectionId="4"/>
  <cacheFields count="2">
    <cacheField name="[Measures].[Income]" caption="Income" numFmtId="0" hierarchy="17" level="32767"/>
    <cacheField name="[Calendar].[Quarter].[Quarter]" caption="Quarter" numFmtId="0" hierarchy="9" level="1">
      <sharedItems count="1">
        <s v="Q1"/>
      </sharedItems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Month Name Short]" caption="Month Name Short" attribute="1" time="1" defaultMemberUniqueName="[Calendar].[Month Name Short].[All]" allUniqueName="[Calendar].[Month Name Short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2" memberValueDatatype="130" unbalanced="0">
      <fieldsUsage count="2">
        <fieldUsage x="-1"/>
        <fieldUsage x="1"/>
      </fieldsUsage>
    </cacheHierarchy>
    <cacheHierarchy uniqueName="[key measures].[Column1]" caption="Column1" attribute="1" defaultMemberUniqueName="[key measures].[Column1].[All]" allUniqueName="[key measures].[Column1].[All]" dimensionUniqueName="[key measures]" displayFolder="" count="0" memberValueDatatype="130" unbalanced="0"/>
    <cacheHierarchy uniqueName="[personal_transactions].[Date]" caption="Date" attribute="1" time="1" defaultMemberUniqueName="[personal_transactions].[Date].[All]" allUniqueName="[personal_transactions].[Date].[All]" dimensionUniqueName="[personal_transactions]" displayFolder="" count="0" memberValueDatatype="7" unbalanced="0"/>
    <cacheHierarchy uniqueName="[personal_transactions].[Description]" caption="Description" attribute="1" defaultMemberUniqueName="[personal_transactions].[Description].[All]" allUniqueName="[personal_transactions].[Description].[All]" dimensionUniqueName="[personal_transactions]" displayFolder="" count="0" memberValueDatatype="130" unbalanced="0"/>
    <cacheHierarchy uniqueName="[personal_transactions].[Amount]" caption="Amount" attribute="1" defaultMemberUniqueName="[personal_transactions].[Amount].[All]" allUniqueName="[personal_transactions].[Amount].[All]" dimensionUniqueName="[personal_transactions]" displayFolder="" count="0" memberValueDatatype="5" unbalanced="0"/>
    <cacheHierarchy uniqueName="[personal_transactions].[Transaction Type]" caption="Transaction Type" attribute="1" defaultMemberUniqueName="[personal_transactions].[Transaction Type].[All]" allUniqueName="[personal_transactions].[Transaction Type].[All]" dimensionUniqueName="[personal_transactions]" displayFolder="" count="0" memberValueDatatype="130" unbalanced="0"/>
    <cacheHierarchy uniqueName="[personal_transactions].[Category]" caption="Category" attribute="1" defaultMemberUniqueName="[personal_transactions].[Category].[All]" allUniqueName="[personal_transactions].[Category].[All]" dimensionUniqueName="[personal_transactions]" displayFolder="" count="0" memberValueDatatype="130" unbalanced="0"/>
    <cacheHierarchy uniqueName="[personal_transactions].[Account Name]" caption="Account Name" attribute="1" defaultMemberUniqueName="[personal_transactions].[Account Name].[All]" allUniqueName="[personal_transactions].[Account Name].[All]" dimensionUniqueName="[personal_transactions]" displayFolder="" count="2" memberValueDatatype="130" unbalanced="0"/>
    <cacheHierarchy uniqueName="[Measures].[Income]" caption="Income" measure="1" displayFolder="" measureGroup="key measures" count="0" oneField="1">
      <fieldsUsage count="1">
        <fieldUsage x="0"/>
      </fieldsUsage>
    </cacheHierarchy>
    <cacheHierarchy uniqueName="[Measures].[Expense]" caption="Expense" measure="1" displayFolder="" measureGroup="key measures" count="0"/>
    <cacheHierarchy uniqueName="[Measures].[Savings]" caption="Savings" measure="1" displayFolder="" measureGroup="key measures" count="0"/>
    <cacheHierarchy uniqueName="[Measures].[Expense %]" caption="Expense %" measure="1" displayFolder="" measureGroup="key measures" count="0"/>
    <cacheHierarchy uniqueName="[Measures].[Saving %]" caption="Saving %" measure="1" displayFolder="" measureGroup="key measures" count="0"/>
    <cacheHierarchy uniqueName="[Measures].[Income %]" caption="Income %" measure="1" displayFolder="" measureGroup="key measures" count="0"/>
    <cacheHierarchy uniqueName="[Measures].[PM income]" caption="PM income" measure="1" displayFolder="" measureGroup="key measures" count="0"/>
    <cacheHierarchy uniqueName="[Measures].[PM Expense]" caption="PM Expense" measure="1" displayFolder="" measureGroup="key measures" count="0"/>
    <cacheHierarchy uniqueName="[Measures].[PM Savings]" caption="PM Savings" measure="1" displayFolder="" measureGroup="key measures" count="0"/>
    <cacheHierarchy uniqueName="[Measures].[MoM Income]" caption="MoM Income" measure="1" displayFolder="" measureGroup="key measures" count="0"/>
    <cacheHierarchy uniqueName="[Measures].[MoM Expense]" caption="MoM Expense" measure="1" displayFolder="" measureGroup="key measures" count="0"/>
    <cacheHierarchy uniqueName="[Measures].[MoM Savings]" caption="MoM Savings" measure="1" displayFolder="" measureGroup="key measures" count="0"/>
    <cacheHierarchy uniqueName="[Measures].[Count]" caption="Count" measure="1" displayFolder="" measureGroup="key measures" count="0"/>
    <cacheHierarchy uniqueName="[Measures].[__XL_Count personal_transactions]" caption="__XL_Count personal_transactions" measure="1" displayFolder="" measureGroup="personal_transactions" count="0" hidden="1"/>
    <cacheHierarchy uniqueName="[Measures].[__XL_Count Calendar]" caption="__XL_Count Calendar" measure="1" displayFolder="" measureGroup="Calendar" count="0" hidden="1"/>
    <cacheHierarchy uniqueName="[Measures].[__XL_Count key measures]" caption="__XL_Count key measures" measure="1" displayFolder="" measureGroup="key measures" count="0" hidden="1"/>
    <cacheHierarchy uniqueName="[Measures].[__No measures defined]" caption="__No measures defined" measure="1" displayFolder="" count="0" hidden="1"/>
  </cacheHierarchies>
  <kpis count="0"/>
  <dimensions count="4">
    <dimension name="Calendar" uniqueName="[Calendar]" caption="Calendar"/>
    <dimension name="key measures" uniqueName="[key measures]" caption="key measures"/>
    <dimension measure="1" name="Measures" uniqueName="[Measures]" caption="Measures"/>
    <dimension name="personal_transactions" uniqueName="[personal_transactions]" caption="personal_transactions"/>
  </dimensions>
  <measureGroups count="3">
    <measureGroup name="Calendar" caption="Calendar"/>
    <measureGroup name="key measures" caption="key measures"/>
    <measureGroup name="personal_transactions" caption="personal_transactions"/>
  </measureGroups>
  <maps count="4">
    <map measureGroup="0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J" refreshedDate="45988.797190277779" createdVersion="5" refreshedVersion="7" minRefreshableVersion="3" recordCount="0" supportSubquery="1" supportAdvancedDrill="1" xr:uid="{271DBCEA-6588-4922-B1A6-359EFFE3EEA8}">
  <cacheSource type="external" connectionId="4"/>
  <cacheFields count="3">
    <cacheField name="[personal_transactions].[Category].[Category]" caption="Category" numFmtId="0" hierarchy="15" level="1">
      <sharedItems count="21">
        <s v="Alcohol &amp; Bars"/>
        <s v="Coffee Shops"/>
        <s v="Credit Card Payment"/>
        <s v="Fast Food"/>
        <s v="Gas &amp; Fuel"/>
        <s v="Groceries"/>
        <s v="Haircut"/>
        <s v="Home Improvement"/>
        <s v="Internet"/>
        <s v="Mobile Phone"/>
        <s v="Mortgage &amp; Rent"/>
        <s v="Movies &amp; DVDs"/>
        <s v="Music"/>
        <s v="Restaurants"/>
        <s v="Shopping"/>
        <s v="Utilities"/>
        <s v="Auto Insurance" u="1"/>
        <s v="Food &amp; Dining" u="1"/>
        <s v="Television" u="1"/>
        <s v="Electronics &amp; Software" u="1"/>
        <s v="Entertainment" u="1"/>
      </sharedItems>
    </cacheField>
    <cacheField name="[Measures].[Expense]" caption="Expense" numFmtId="0" hierarchy="18" level="32767"/>
    <cacheField name="[Calendar].[Date].[Date]" caption="Date" numFmtId="0" level="1">
      <sharedItems containsSemiMixedTypes="0" containsNonDate="0" containsString="0"/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2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Month Name Short]" caption="Month Name Short" attribute="1" time="1" defaultMemberUniqueName="[Calendar].[Month Name Short].[All]" allUniqueName="[Calendar].[Month Name Short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key measures].[Column1]" caption="Column1" attribute="1" defaultMemberUniqueName="[key measures].[Column1].[All]" allUniqueName="[key measures].[Column1].[All]" dimensionUniqueName="[key measures]" displayFolder="" count="0" memberValueDatatype="130" unbalanced="0"/>
    <cacheHierarchy uniqueName="[personal_transactions].[Date]" caption="Date" attribute="1" time="1" defaultMemberUniqueName="[personal_transactions].[Date].[All]" allUniqueName="[personal_transactions].[Date].[All]" dimensionUniqueName="[personal_transactions]" displayFolder="" count="0" memberValueDatatype="7" unbalanced="0"/>
    <cacheHierarchy uniqueName="[personal_transactions].[Description]" caption="Description" attribute="1" defaultMemberUniqueName="[personal_transactions].[Description].[All]" allUniqueName="[personal_transactions].[Description].[All]" dimensionUniqueName="[personal_transactions]" displayFolder="" count="0" memberValueDatatype="130" unbalanced="0"/>
    <cacheHierarchy uniqueName="[personal_transactions].[Amount]" caption="Amount" attribute="1" defaultMemberUniqueName="[personal_transactions].[Amount].[All]" allUniqueName="[personal_transactions].[Amount].[All]" dimensionUniqueName="[personal_transactions]" displayFolder="" count="0" memberValueDatatype="5" unbalanced="0"/>
    <cacheHierarchy uniqueName="[personal_transactions].[Transaction Type]" caption="Transaction Type" attribute="1" defaultMemberUniqueName="[personal_transactions].[Transaction Type].[All]" allUniqueName="[personal_transactions].[Transaction Type].[All]" dimensionUniqueName="[personal_transactions]" displayFolder="" count="0" memberValueDatatype="130" unbalanced="0"/>
    <cacheHierarchy uniqueName="[personal_transactions].[Category]" caption="Category" attribute="1" defaultMemberUniqueName="[personal_transactions].[Category].[All]" allUniqueName="[personal_transactions].[Category].[All]" dimensionUniqueName="[personal_transactions]" displayFolder="" count="2" memberValueDatatype="130" unbalanced="0">
      <fieldsUsage count="2">
        <fieldUsage x="-1"/>
        <fieldUsage x="0"/>
      </fieldsUsage>
    </cacheHierarchy>
    <cacheHierarchy uniqueName="[personal_transactions].[Account Name]" caption="Account Name" attribute="1" defaultMemberUniqueName="[personal_transactions].[Account Name].[All]" allUniqueName="[personal_transactions].[Account Name].[All]" dimensionUniqueName="[personal_transactions]" displayFolder="" count="0" memberValueDatatype="130" unbalanced="0"/>
    <cacheHierarchy uniqueName="[Measures].[Income]" caption="Income" measure="1" displayFolder="" measureGroup="key measures" count="0"/>
    <cacheHierarchy uniqueName="[Measures].[Expense]" caption="Expense" measure="1" displayFolder="" measureGroup="key measures" count="0" oneField="1">
      <fieldsUsage count="1">
        <fieldUsage x="1"/>
      </fieldsUsage>
    </cacheHierarchy>
    <cacheHierarchy uniqueName="[Measures].[Savings]" caption="Savings" measure="1" displayFolder="" measureGroup="key measures" count="0"/>
    <cacheHierarchy uniqueName="[Measures].[Expense %]" caption="Expense %" measure="1" displayFolder="" measureGroup="key measures" count="0"/>
    <cacheHierarchy uniqueName="[Measures].[Saving %]" caption="Saving %" measure="1" displayFolder="" measureGroup="key measures" count="0"/>
    <cacheHierarchy uniqueName="[Measures].[Income %]" caption="Income %" measure="1" displayFolder="" measureGroup="key measures" count="0"/>
    <cacheHierarchy uniqueName="[Measures].[PM income]" caption="PM income" measure="1" displayFolder="" measureGroup="key measures" count="0"/>
    <cacheHierarchy uniqueName="[Measures].[PM Expense]" caption="PM Expense" measure="1" displayFolder="" measureGroup="key measures" count="0"/>
    <cacheHierarchy uniqueName="[Measures].[PM Savings]" caption="PM Savings" measure="1" displayFolder="" measureGroup="key measures" count="0"/>
    <cacheHierarchy uniqueName="[Measures].[MoM Income]" caption="MoM Income" measure="1" displayFolder="" measureGroup="key measures" count="0"/>
    <cacheHierarchy uniqueName="[Measures].[MoM Expense]" caption="MoM Expense" measure="1" displayFolder="" measureGroup="key measures" count="0"/>
    <cacheHierarchy uniqueName="[Measures].[MoM Savings]" caption="MoM Savings" measure="1" displayFolder="" measureGroup="key measures" count="0"/>
    <cacheHierarchy uniqueName="[Measures].[Count]" caption="Count" measure="1" displayFolder="" measureGroup="key measures" count="0"/>
    <cacheHierarchy uniqueName="[Measures].[__XL_Count personal_transactions]" caption="__XL_Count personal_transactions" measure="1" displayFolder="" measureGroup="personal_transactions" count="0" hidden="1"/>
    <cacheHierarchy uniqueName="[Measures].[__XL_Count Calendar]" caption="__XL_Count Calendar" measure="1" displayFolder="" measureGroup="Calendar" count="0" hidden="1"/>
    <cacheHierarchy uniqueName="[Measures].[__XL_Count key measures]" caption="__XL_Count key measures" measure="1" displayFolder="" measureGroup="key measures" count="0" hidden="1"/>
    <cacheHierarchy uniqueName="[Measures].[__No measures defined]" caption="__No measures defined" measure="1" displayFolder="" count="0" hidden="1"/>
  </cacheHierarchies>
  <kpis count="0"/>
  <dimensions count="4">
    <dimension name="Calendar" uniqueName="[Calendar]" caption="Calendar"/>
    <dimension name="key measures" uniqueName="[key measures]" caption="key measures"/>
    <dimension measure="1" name="Measures" uniqueName="[Measures]" caption="Measures"/>
    <dimension name="personal_transactions" uniqueName="[personal_transactions]" caption="personal_transactions"/>
  </dimensions>
  <measureGroups count="3">
    <measureGroup name="Calendar" caption="Calendar"/>
    <measureGroup name="key measures" caption="key measures"/>
    <measureGroup name="personal_transactions" caption="personal_transactions"/>
  </measureGroups>
  <maps count="4">
    <map measureGroup="0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J" refreshedDate="45988.797190740741" createdVersion="5" refreshedVersion="7" minRefreshableVersion="3" recordCount="0" supportSubquery="1" supportAdvancedDrill="1" xr:uid="{BD68D7B2-5AD5-4483-8228-4DCB71D267C1}">
  <cacheSource type="external" connectionId="4"/>
  <cacheFields count="3">
    <cacheField name="[Measures].[Income]" caption="Income" numFmtId="0" hierarchy="17" level="32767"/>
    <cacheField name="[personal_transactions].[Category].[Category]" caption="Category" numFmtId="0" hierarchy="15" level="1">
      <sharedItems count="2">
        <s v="Credit Card Payment"/>
        <s v="Paycheck"/>
      </sharedItems>
    </cacheField>
    <cacheField name="[Calendar].[Date].[Date]" caption="Date" numFmtId="0" level="1">
      <sharedItems containsSemiMixedTypes="0" containsNonDate="0" containsString="0"/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2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Month Name Short]" caption="Month Name Short" attribute="1" time="1" defaultMemberUniqueName="[Calendar].[Month Name Short].[All]" allUniqueName="[Calendar].[Month Name Short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key measures].[Column1]" caption="Column1" attribute="1" defaultMemberUniqueName="[key measures].[Column1].[All]" allUniqueName="[key measures].[Column1].[All]" dimensionUniqueName="[key measures]" displayFolder="" count="0" memberValueDatatype="130" unbalanced="0"/>
    <cacheHierarchy uniqueName="[personal_transactions].[Date]" caption="Date" attribute="1" time="1" defaultMemberUniqueName="[personal_transactions].[Date].[All]" allUniqueName="[personal_transactions].[Date].[All]" dimensionUniqueName="[personal_transactions]" displayFolder="" count="0" memberValueDatatype="7" unbalanced="0"/>
    <cacheHierarchy uniqueName="[personal_transactions].[Description]" caption="Description" attribute="1" defaultMemberUniqueName="[personal_transactions].[Description].[All]" allUniqueName="[personal_transactions].[Description].[All]" dimensionUniqueName="[personal_transactions]" displayFolder="" count="0" memberValueDatatype="130" unbalanced="0"/>
    <cacheHierarchy uniqueName="[personal_transactions].[Amount]" caption="Amount" attribute="1" defaultMemberUniqueName="[personal_transactions].[Amount].[All]" allUniqueName="[personal_transactions].[Amount].[All]" dimensionUniqueName="[personal_transactions]" displayFolder="" count="0" memberValueDatatype="5" unbalanced="0"/>
    <cacheHierarchy uniqueName="[personal_transactions].[Transaction Type]" caption="Transaction Type" attribute="1" defaultMemberUniqueName="[personal_transactions].[Transaction Type].[All]" allUniqueName="[personal_transactions].[Transaction Type].[All]" dimensionUniqueName="[personal_transactions]" displayFolder="" count="0" memberValueDatatype="130" unbalanced="0"/>
    <cacheHierarchy uniqueName="[personal_transactions].[Category]" caption="Category" attribute="1" defaultMemberUniqueName="[personal_transactions].[Category].[All]" allUniqueName="[personal_transactions].[Category].[All]" dimensionUniqueName="[personal_transactions]" displayFolder="" count="2" memberValueDatatype="130" unbalanced="0">
      <fieldsUsage count="2">
        <fieldUsage x="-1"/>
        <fieldUsage x="1"/>
      </fieldsUsage>
    </cacheHierarchy>
    <cacheHierarchy uniqueName="[personal_transactions].[Account Name]" caption="Account Name" attribute="1" defaultMemberUniqueName="[personal_transactions].[Account Name].[All]" allUniqueName="[personal_transactions].[Account Name].[All]" dimensionUniqueName="[personal_transactions]" displayFolder="" count="0" memberValueDatatype="130" unbalanced="0"/>
    <cacheHierarchy uniqueName="[Measures].[Income]" caption="Income" measure="1" displayFolder="" measureGroup="key measures" count="0" oneField="1">
      <fieldsUsage count="1">
        <fieldUsage x="0"/>
      </fieldsUsage>
    </cacheHierarchy>
    <cacheHierarchy uniqueName="[Measures].[Expense]" caption="Expense" measure="1" displayFolder="" measureGroup="key measures" count="0"/>
    <cacheHierarchy uniqueName="[Measures].[Savings]" caption="Savings" measure="1" displayFolder="" measureGroup="key measures" count="0"/>
    <cacheHierarchy uniqueName="[Measures].[Expense %]" caption="Expense %" measure="1" displayFolder="" measureGroup="key measures" count="0"/>
    <cacheHierarchy uniqueName="[Measures].[Saving %]" caption="Saving %" measure="1" displayFolder="" measureGroup="key measures" count="0"/>
    <cacheHierarchy uniqueName="[Measures].[Income %]" caption="Income %" measure="1" displayFolder="" measureGroup="key measures" count="0"/>
    <cacheHierarchy uniqueName="[Measures].[PM income]" caption="PM income" measure="1" displayFolder="" measureGroup="key measures" count="0"/>
    <cacheHierarchy uniqueName="[Measures].[PM Expense]" caption="PM Expense" measure="1" displayFolder="" measureGroup="key measures" count="0"/>
    <cacheHierarchy uniqueName="[Measures].[PM Savings]" caption="PM Savings" measure="1" displayFolder="" measureGroup="key measures" count="0"/>
    <cacheHierarchy uniqueName="[Measures].[MoM Income]" caption="MoM Income" measure="1" displayFolder="" measureGroup="key measures" count="0"/>
    <cacheHierarchy uniqueName="[Measures].[MoM Expense]" caption="MoM Expense" measure="1" displayFolder="" measureGroup="key measures" count="0"/>
    <cacheHierarchy uniqueName="[Measures].[MoM Savings]" caption="MoM Savings" measure="1" displayFolder="" measureGroup="key measures" count="0"/>
    <cacheHierarchy uniqueName="[Measures].[Count]" caption="Count" measure="1" displayFolder="" measureGroup="key measures" count="0"/>
    <cacheHierarchy uniqueName="[Measures].[__XL_Count personal_transactions]" caption="__XL_Count personal_transactions" measure="1" displayFolder="" measureGroup="personal_transactions" count="0" hidden="1"/>
    <cacheHierarchy uniqueName="[Measures].[__XL_Count Calendar]" caption="__XL_Count Calendar" measure="1" displayFolder="" measureGroup="Calendar" count="0" hidden="1"/>
    <cacheHierarchy uniqueName="[Measures].[__XL_Count key measures]" caption="__XL_Count key measures" measure="1" displayFolder="" measureGroup="key measures" count="0" hidden="1"/>
    <cacheHierarchy uniqueName="[Measures].[__No measures defined]" caption="__No measures defined" measure="1" displayFolder="" count="0" hidden="1"/>
  </cacheHierarchies>
  <kpis count="0"/>
  <dimensions count="4">
    <dimension name="Calendar" uniqueName="[Calendar]" caption="Calendar"/>
    <dimension name="key measures" uniqueName="[key measures]" caption="key measures"/>
    <dimension measure="1" name="Measures" uniqueName="[Measures]" caption="Measures"/>
    <dimension name="personal_transactions" uniqueName="[personal_transactions]" caption="personal_transactions"/>
  </dimensions>
  <measureGroups count="3">
    <measureGroup name="Calendar" caption="Calendar"/>
    <measureGroup name="key measures" caption="key measures"/>
    <measureGroup name="personal_transactions" caption="personal_transactions"/>
  </measureGroups>
  <maps count="4">
    <map measureGroup="0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J" refreshedDate="45988.797191319441" createdVersion="5" refreshedVersion="7" minRefreshableVersion="3" recordCount="0" supportSubquery="1" supportAdvancedDrill="1" xr:uid="{ECA948A0-312A-4AAB-BE34-6D0D2366B8D2}">
  <cacheSource type="external" connectionId="4"/>
  <cacheFields count="3">
    <cacheField name="[personal_transactions].[Account Name].[Account Name]" caption="Account Name" numFmtId="0" hierarchy="16" level="1">
      <sharedItems count="3">
        <s v="Checking"/>
        <s v="Platinum Card"/>
        <s v="Silver Card"/>
      </sharedItems>
    </cacheField>
    <cacheField name="[Measures].[Expense]" caption="Expense" numFmtId="0" hierarchy="18" level="32767"/>
    <cacheField name="[Calendar].[Date].[Date]" caption="Date" numFmtId="0" level="1">
      <sharedItems containsSemiMixedTypes="0" containsNonDate="0" containsString="0"/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2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Month Name Short]" caption="Month Name Short" attribute="1" time="1" defaultMemberUniqueName="[Calendar].[Month Name Short].[All]" allUniqueName="[Calendar].[Month Name Short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key measures].[Column1]" caption="Column1" attribute="1" defaultMemberUniqueName="[key measures].[Column1].[All]" allUniqueName="[key measures].[Column1].[All]" dimensionUniqueName="[key measures]" displayFolder="" count="0" memberValueDatatype="130" unbalanced="0"/>
    <cacheHierarchy uniqueName="[personal_transactions].[Date]" caption="Date" attribute="1" time="1" defaultMemberUniqueName="[personal_transactions].[Date].[All]" allUniqueName="[personal_transactions].[Date].[All]" dimensionUniqueName="[personal_transactions]" displayFolder="" count="0" memberValueDatatype="7" unbalanced="0"/>
    <cacheHierarchy uniqueName="[personal_transactions].[Description]" caption="Description" attribute="1" defaultMemberUniqueName="[personal_transactions].[Description].[All]" allUniqueName="[personal_transactions].[Description].[All]" dimensionUniqueName="[personal_transactions]" displayFolder="" count="0" memberValueDatatype="130" unbalanced="0"/>
    <cacheHierarchy uniqueName="[personal_transactions].[Amount]" caption="Amount" attribute="1" defaultMemberUniqueName="[personal_transactions].[Amount].[All]" allUniqueName="[personal_transactions].[Amount].[All]" dimensionUniqueName="[personal_transactions]" displayFolder="" count="0" memberValueDatatype="5" unbalanced="0"/>
    <cacheHierarchy uniqueName="[personal_transactions].[Transaction Type]" caption="Transaction Type" attribute="1" defaultMemberUniqueName="[personal_transactions].[Transaction Type].[All]" allUniqueName="[personal_transactions].[Transaction Type].[All]" dimensionUniqueName="[personal_transactions]" displayFolder="" count="0" memberValueDatatype="130" unbalanced="0"/>
    <cacheHierarchy uniqueName="[personal_transactions].[Category]" caption="Category" attribute="1" defaultMemberUniqueName="[personal_transactions].[Category].[All]" allUniqueName="[personal_transactions].[Category].[All]" dimensionUniqueName="[personal_transactions]" displayFolder="" count="0" memberValueDatatype="130" unbalanced="0"/>
    <cacheHierarchy uniqueName="[personal_transactions].[Account Name]" caption="Account Name" attribute="1" defaultMemberUniqueName="[personal_transactions].[Account Name].[All]" allUniqueName="[personal_transactions].[Account Name].[All]" dimensionUniqueName="[personal_transactions]" displayFolder="" count="2" memberValueDatatype="130" unbalanced="0">
      <fieldsUsage count="2">
        <fieldUsage x="-1"/>
        <fieldUsage x="0"/>
      </fieldsUsage>
    </cacheHierarchy>
    <cacheHierarchy uniqueName="[Measures].[Income]" caption="Income" measure="1" displayFolder="" measureGroup="key measures" count="0"/>
    <cacheHierarchy uniqueName="[Measures].[Expense]" caption="Expense" measure="1" displayFolder="" measureGroup="key measures" count="0" oneField="1">
      <fieldsUsage count="1">
        <fieldUsage x="1"/>
      </fieldsUsage>
    </cacheHierarchy>
    <cacheHierarchy uniqueName="[Measures].[Savings]" caption="Savings" measure="1" displayFolder="" measureGroup="key measures" count="0"/>
    <cacheHierarchy uniqueName="[Measures].[Expense %]" caption="Expense %" measure="1" displayFolder="" measureGroup="key measures" count="0"/>
    <cacheHierarchy uniqueName="[Measures].[Saving %]" caption="Saving %" measure="1" displayFolder="" measureGroup="key measures" count="0"/>
    <cacheHierarchy uniqueName="[Measures].[Income %]" caption="Income %" measure="1" displayFolder="" measureGroup="key measures" count="0"/>
    <cacheHierarchy uniqueName="[Measures].[PM income]" caption="PM income" measure="1" displayFolder="" measureGroup="key measures" count="0"/>
    <cacheHierarchy uniqueName="[Measures].[PM Expense]" caption="PM Expense" measure="1" displayFolder="" measureGroup="key measures" count="0"/>
    <cacheHierarchy uniqueName="[Measures].[PM Savings]" caption="PM Savings" measure="1" displayFolder="" measureGroup="key measures" count="0"/>
    <cacheHierarchy uniqueName="[Measures].[MoM Income]" caption="MoM Income" measure="1" displayFolder="" measureGroup="key measures" count="0"/>
    <cacheHierarchy uniqueName="[Measures].[MoM Expense]" caption="MoM Expense" measure="1" displayFolder="" measureGroup="key measures" count="0"/>
    <cacheHierarchy uniqueName="[Measures].[MoM Savings]" caption="MoM Savings" measure="1" displayFolder="" measureGroup="key measures" count="0"/>
    <cacheHierarchy uniqueName="[Measures].[Count]" caption="Count" measure="1" displayFolder="" measureGroup="key measures" count="0"/>
    <cacheHierarchy uniqueName="[Measures].[__XL_Count personal_transactions]" caption="__XL_Count personal_transactions" measure="1" displayFolder="" measureGroup="personal_transactions" count="0" hidden="1"/>
    <cacheHierarchy uniqueName="[Measures].[__XL_Count Calendar]" caption="__XL_Count Calendar" measure="1" displayFolder="" measureGroup="Calendar" count="0" hidden="1"/>
    <cacheHierarchy uniqueName="[Measures].[__XL_Count key measures]" caption="__XL_Count key measures" measure="1" displayFolder="" measureGroup="key measures" count="0" hidden="1"/>
    <cacheHierarchy uniqueName="[Measures].[__No measures defined]" caption="__No measures defined" measure="1" displayFolder="" count="0" hidden="1"/>
  </cacheHierarchies>
  <kpis count="0"/>
  <dimensions count="4">
    <dimension name="Calendar" uniqueName="[Calendar]" caption="Calendar"/>
    <dimension name="key measures" uniqueName="[key measures]" caption="key measures"/>
    <dimension measure="1" name="Measures" uniqueName="[Measures]" caption="Measures"/>
    <dimension name="personal_transactions" uniqueName="[personal_transactions]" caption="personal_transactions"/>
  </dimensions>
  <measureGroups count="3">
    <measureGroup name="Calendar" caption="Calendar"/>
    <measureGroup name="key measures" caption="key measures"/>
    <measureGroup name="personal_transactions" caption="personal_transactions"/>
  </measureGroups>
  <maps count="4">
    <map measureGroup="0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J" refreshedDate="45984.464031481482" createdVersion="3" refreshedVersion="7" minRefreshableVersion="3" recordCount="0" supportSubquery="1" supportAdvancedDrill="1" xr:uid="{064C1D12-BA45-4D37-9472-22660B252313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Month Name Short]" caption="Month Name Short" attribute="1" time="1" defaultMemberUniqueName="[Calendar].[Month Name Short].[All]" allUniqueName="[Calendar].[Month Name Short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key measures].[Column1]" caption="Column1" attribute="1" defaultMemberUniqueName="[key measures].[Column1].[All]" allUniqueName="[key measures].[Column1].[All]" dimensionUniqueName="[key measures]" displayFolder="" count="0" memberValueDatatype="130" unbalanced="0"/>
    <cacheHierarchy uniqueName="[personal_transactions].[Date]" caption="Date" attribute="1" time="1" defaultMemberUniqueName="[personal_transactions].[Date].[All]" allUniqueName="[personal_transactions].[Date].[All]" dimensionUniqueName="[personal_transactions]" displayFolder="" count="0" memberValueDatatype="7" unbalanced="0"/>
    <cacheHierarchy uniqueName="[personal_transactions].[Description]" caption="Description" attribute="1" defaultMemberUniqueName="[personal_transactions].[Description].[All]" allUniqueName="[personal_transactions].[Description].[All]" dimensionUniqueName="[personal_transactions]" displayFolder="" count="0" memberValueDatatype="130" unbalanced="0"/>
    <cacheHierarchy uniqueName="[personal_transactions].[Amount]" caption="Amount" attribute="1" defaultMemberUniqueName="[personal_transactions].[Amount].[All]" allUniqueName="[personal_transactions].[Amount].[All]" dimensionUniqueName="[personal_transactions]" displayFolder="" count="0" memberValueDatatype="5" unbalanced="0"/>
    <cacheHierarchy uniqueName="[personal_transactions].[Transaction Type]" caption="Transaction Type" attribute="1" defaultMemberUniqueName="[personal_transactions].[Transaction Type].[All]" allUniqueName="[personal_transactions].[Transaction Type].[All]" dimensionUniqueName="[personal_transactions]" displayFolder="" count="0" memberValueDatatype="130" unbalanced="0"/>
    <cacheHierarchy uniqueName="[personal_transactions].[Category]" caption="Category" attribute="1" defaultMemberUniqueName="[personal_transactions].[Category].[All]" allUniqueName="[personal_transactions].[Category].[All]" dimensionUniqueName="[personal_transactions]" displayFolder="" count="0" memberValueDatatype="130" unbalanced="0"/>
    <cacheHierarchy uniqueName="[personal_transactions].[Account Name]" caption="Account Name" attribute="1" defaultMemberUniqueName="[personal_transactions].[Account Name].[All]" allUniqueName="[personal_transactions].[Account Name].[All]" dimensionUniqueName="[personal_transactions]" displayFolder="" count="0" memberValueDatatype="130" unbalanced="0"/>
    <cacheHierarchy uniqueName="[Measures].[Income]" caption="Income" measure="1" displayFolder="" measureGroup="key measures" count="0"/>
    <cacheHierarchy uniqueName="[Measures].[Expense]" caption="Expense" measure="1" displayFolder="" measureGroup="key measures" count="0"/>
    <cacheHierarchy uniqueName="[Measures].[Savings]" caption="Savings" measure="1" displayFolder="" measureGroup="key measures" count="0"/>
    <cacheHierarchy uniqueName="[Measures].[Expense %]" caption="Expense %" measure="1" displayFolder="" measureGroup="key measures" count="0"/>
    <cacheHierarchy uniqueName="[Measures].[Saving %]" caption="Saving %" measure="1" displayFolder="" measureGroup="key measures" count="0"/>
    <cacheHierarchy uniqueName="[Measures].[Income %]" caption="Income %" measure="1" displayFolder="" measureGroup="key measures" count="0"/>
    <cacheHierarchy uniqueName="[Measures].[PM income]" caption="PM income" measure="1" displayFolder="" measureGroup="key measures" count="0"/>
    <cacheHierarchy uniqueName="[Measures].[PM Expense]" caption="PM Expense" measure="1" displayFolder="" measureGroup="key measures" count="0"/>
    <cacheHierarchy uniqueName="[Measures].[PM Savings]" caption="PM Savings" measure="1" displayFolder="" measureGroup="key measures" count="0"/>
    <cacheHierarchy uniqueName="[Measures].[MoM Income]" caption="MoM Income" measure="1" displayFolder="" measureGroup="key measures" count="0"/>
    <cacheHierarchy uniqueName="[Measures].[MoM Expense]" caption="MoM Expense" measure="1" displayFolder="" measureGroup="key measures" count="0"/>
    <cacheHierarchy uniqueName="[Measures].[MoM Savings]" caption="MoM Savings" measure="1" displayFolder="" measureGroup="key measures" count="0"/>
    <cacheHierarchy uniqueName="[Measures].[Count]" caption="Count" measure="1" displayFolder="" measureGroup="key measures" count="0"/>
    <cacheHierarchy uniqueName="[Measures].[__XL_Count personal_transactions]" caption="__XL_Count personal_transactions" measure="1" displayFolder="" measureGroup="personal_transactions" count="0" hidden="1"/>
    <cacheHierarchy uniqueName="[Measures].[__XL_Count Calendar]" caption="__XL_Count Calendar" measure="1" displayFolder="" measureGroup="Calendar" count="0" hidden="1"/>
    <cacheHierarchy uniqueName="[Measures].[__XL_Count key measures]" caption="__XL_Count key measures" measure="1" displayFolder="" measureGroup="key measur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9181894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99EB5-DBBD-409E-BF91-E37C16C5D2F9}" name="PivotTable2" cacheId="64" applyNumberFormats="0" applyBorderFormats="0" applyFontFormats="0" applyPatternFormats="0" applyAlignmentFormats="0" applyWidthHeightFormats="1" dataCaption="Values" tag="3d397a2b-a3c4-4da1-ad5e-600a9a155f49" updatedVersion="7" minRefreshableVersion="5" useAutoFormatting="1" rowGrandTotals="0" itemPrintTitles="1" createdVersion="5" indent="0" outline="1" outlineData="1" multipleFieldFilters="0" chartFormat="15">
  <location ref="F5:G21" firstHeaderRow="1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fld="1" subtotal="count" baseField="0" baseItem="0"/>
  </dataFields>
  <chartFormats count="22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25" name="[Calendar].[Date]">
      <autoFilter ref="A1">
        <filterColumn colId="0">
          <customFilters and="1">
            <customFilter operator="greaterThanOrEqual" val="43101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ey measures]"/>
        <x15:activeTabTopLevelEntity name="[personal_transaction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80417-3D89-4843-84E6-01A970135722}" name="PivotTable7" cacheId="70" applyNumberFormats="0" applyBorderFormats="0" applyFontFormats="0" applyPatternFormats="0" applyAlignmentFormats="0" applyWidthHeightFormats="1" dataCaption="Values" tag="fe9c4dde-83d7-4442-a671-3bf0a3a6c1d4" updatedVersion="7" minRefreshableVersion="5" useAutoFormatting="1" rowGrandTotals="0" itemPrintTitles="1" createdVersion="5" indent="0" outline="1" outlineData="1" multipleFieldFilters="0" chartFormat="10">
  <location ref="I14:J1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fld="1" subtotal="count" showDataAs="percentOfTotal" baseField="0" baseItem="1" numFmtId="10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24" name="[Calendar].[Date]">
      <autoFilter ref="A1">
        <filterColumn colId="0">
          <customFilters and="1">
            <customFilter operator="greaterThanOrEqual" val="43101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ey measures]"/>
        <x15:activeTabTopLevelEntity name="[personal_transaction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6F0FA-29F8-40FD-B6F5-650452422D94}" name="PivotTable5" cacheId="52" applyNumberFormats="0" applyBorderFormats="0" applyFontFormats="0" applyPatternFormats="0" applyAlignmentFormats="0" applyWidthHeightFormats="1" dataCaption="Values" tag="495f4e3f-1de6-4fed-a62e-e461479b1c4a" updatedVersion="7" minRefreshableVersion="5" useAutoFormatting="1" subtotalHiddenItems="1" rowGrandTotals="0" itemPrintTitles="1" createdVersion="5" indent="0" outline="1" outlineData="1" multipleFieldFilters="0" chartFormat="8">
  <location ref="A6:D9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fld="3" subtotal="count" baseField="0" baseItem="0"/>
    <dataField fld="0" subtotal="count" baseField="0" baseItem="0"/>
    <dataField fld="1" subtotal="count" baseField="0" baseItem="0"/>
  </dataField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249" name="[Calendar].[Date]">
      <autoFilter ref="A1">
        <filterColumn colId="0">
          <customFilters and="1">
            <customFilter operator="greaterThanOrEqual" val="43101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ey measures]"/>
        <x15:activeTabTopLevelEntity name="[personal_transaction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A2202-CE3F-4954-B6E8-AF1E51BFDF46}" name="PivotTable4" cacheId="55" applyNumberFormats="0" applyBorderFormats="0" applyFontFormats="0" applyPatternFormats="0" applyAlignmentFormats="0" applyWidthHeightFormats="1" dataCaption="Values" tag="282e5fdc-08ef-4602-9985-d29cd3a90730" updatedVersion="7" minRefreshableVersion="5" useAutoFormatting="1" itemPrintTitles="1" createdVersion="5" indent="0" outline="1" outlineData="1" multipleFieldFilters="0">
  <location ref="L7:V8" firstHeaderRow="0" firstDataRow="1" firstDataCol="0"/>
  <pivotFields count="1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fld="1" subtotal="count" baseField="0" baseItem="0"/>
    <dataField fld="7" subtotal="count" baseField="0" baseItem="0"/>
    <dataField fld="3" subtotal="count" baseField="0" baseItem="0"/>
    <dataField fld="10" subtotal="count" baseField="0" baseItem="0"/>
    <dataField fld="0" subtotal="count" baseField="0" baseItem="0"/>
    <dataField fld="8" subtotal="count" baseField="0" baseItem="0"/>
    <dataField fld="4" subtotal="count" baseField="0" baseItem="0"/>
    <dataField fld="11" subtotal="count" baseField="0" baseItem="0"/>
    <dataField fld="6" subtotal="count" baseField="0" baseItem="0"/>
    <dataField fld="9" subtotal="count" baseField="0" baseItem="0" numFmtId="44"/>
    <dataField fld="5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</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2" type="dateBetween" evalOrder="-1" id="243" name="[Calendar].[Date]">
      <autoFilter ref="A1">
        <filterColumn colId="0">
          <customFilters and="1">
            <customFilter operator="greaterThanOrEqual" val="43101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2" type="dateBetween" evalOrder="-1" id="16" name="[personal_transactions].[Date]">
      <autoFilter ref="A1">
        <filterColumn colId="0">
          <customFilters and="1">
            <customFilter operator="greaterThanOrEqual" val="43160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ey measures]"/>
        <x15:activeTabTopLevelEntity name="[personal_transaction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319D4-0EBA-4435-8C33-1FEA8BB3C3A2}" name="PivotTable12" cacheId="61" applyNumberFormats="0" applyBorderFormats="0" applyFontFormats="0" applyPatternFormats="0" applyAlignmentFormats="0" applyWidthHeightFormats="1" dataCaption="Values" tag="41722ef1-6cf2-40f6-979a-ad6305fdfb40" updatedVersion="7" minRefreshableVersion="5" useAutoFormatting="1" subtotalHiddenItems="1" rowGrandTotals="0" itemPrintTitles="1" createdVersion="5" indent="0" outline="1" outlineData="1" multipleFieldFilters="0" chartFormat="14">
  <location ref="P13:Q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dateBetween" evalOrder="-1" id="124" name="[Calendar].[Date]">
      <autoFilter ref="A1">
        <filterColumn colId="0">
          <customFilters and="1">
            <customFilter operator="greaterThanOrEqual" val="43101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ey measures]"/>
        <x15:activeTabTopLevelEntity name="[personal_transaction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454A6-F8B5-4A8E-B893-3C018E98F715}" name="PivotTable11" cacheId="58" applyNumberFormats="0" applyBorderFormats="0" applyFontFormats="0" applyPatternFormats="0" applyAlignmentFormats="0" applyWidthHeightFormats="1" dataCaption="Values" tag="7b0a3909-9121-4cbc-a8a5-f467c79506f2" updatedVersion="7" minRefreshableVersion="5" useAutoFormatting="1" subtotalHiddenItems="1" rowGrandTotals="0" itemPrintTitles="1" createdVersion="5" indent="0" outline="1" outlineData="1" multipleFieldFilters="0" chartFormat="5">
  <location ref="M14:N31" firstHeaderRow="1" firstDataRow="1" firstDataCol="1"/>
  <pivotFields count="3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fld="1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32" name="[Calendar].[Date]">
      <autoFilter ref="A1">
        <filterColumn colId="0">
          <customFilters and="1">
            <customFilter operator="greaterThanOrEqual" val="43101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ey measures]"/>
        <x15:activeTabTopLevelEntity name="[personal_transaction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F3836-31D3-418D-86C1-A9CD63D6030A}" name="PivotTable3" cacheId="67" applyNumberFormats="0" applyBorderFormats="0" applyFontFormats="0" applyPatternFormats="0" applyAlignmentFormats="0" applyWidthHeightFormats="1" dataCaption="Values" tag="ed841407-c786-4092-89ef-94fd2e20427d" updatedVersion="7" minRefreshableVersion="5" useAutoFormatting="1" rowGrandTotals="0" itemPrintTitles="1" createdVersion="5" indent="0" outline="1" outlineData="1" multipleFieldFilters="0" chartFormat="11">
  <location ref="I7:J9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2">
    <i>
      <x v="1"/>
    </i>
    <i>
      <x/>
    </i>
  </rowItems>
  <colItems count="1">
    <i/>
  </colItems>
  <dataFields count="1">
    <dataField fld="0" subtotal="count" showDataAs="percentOfTotal" baseField="1" baseItem="1" numFmtId="10"/>
  </dataFields>
  <chartFormats count="3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24" name="[Calendar].[Date]">
      <autoFilter ref="A1">
        <filterColumn colId="0">
          <customFilters and="1">
            <customFilter operator="greaterThanOrEqual" val="43101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ey measures]"/>
        <x15:activeTabTopLevelEntity name="[personal_transaction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D457AEE7-D952-46BC-86F7-C2DF8F8F1D83}" sourceName="[Calendar].[Date]">
  <pivotTables>
    <pivotTable tabId="1" name="PivotTable5"/>
    <pivotTable tabId="1" name="PivotTable4"/>
    <pivotTable tabId="1" name="PivotTable11"/>
    <pivotTable tabId="1" name="PivotTable12"/>
    <pivotTable tabId="1" name="PivotTable2"/>
    <pivotTable tabId="1" name="PivotTable3"/>
    <pivotTable tabId="1" name="PivotTable7"/>
  </pivotTables>
  <state minimalRefreshVersion="6" lastRefreshVersion="6" pivotCacheId="91818940" filterType="dateBetween">
    <selection startDate="2018-01-01T00:00:00" endDate="2018-03-31T00:00:00"/>
    <bounds startDate="2018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7A157738-95B7-4E5E-B0AF-FFC21E05700E}" cache="Timeline_Date" caption="Date" level="2" selectionLevel="1" scrollPosition="2018-01-01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218D-1B11-4902-B5D3-AF60DB66CAE7}">
  <dimension ref="A4:V31"/>
  <sheetViews>
    <sheetView showGridLines="0" zoomScale="80" zoomScaleNormal="80" workbookViewId="0">
      <selection activeCell="V9" sqref="V9"/>
    </sheetView>
  </sheetViews>
  <sheetFormatPr defaultRowHeight="15" x14ac:dyDescent="0.25"/>
  <cols>
    <col min="1" max="1" width="14.140625" bestFit="1" customWidth="1"/>
    <col min="2" max="2" width="9.85546875" bestFit="1" customWidth="1"/>
    <col min="3" max="3" width="10.7109375" bestFit="1" customWidth="1"/>
    <col min="4" max="4" width="9.28515625" bestFit="1" customWidth="1"/>
    <col min="5" max="5" width="10.5703125" bestFit="1" customWidth="1"/>
    <col min="6" max="6" width="20.85546875" bestFit="1" customWidth="1"/>
    <col min="7" max="7" width="9.85546875" bestFit="1" customWidth="1"/>
    <col min="9" max="9" width="15" bestFit="1" customWidth="1"/>
    <col min="10" max="10" width="8.5703125" bestFit="1" customWidth="1"/>
    <col min="12" max="12" width="10.85546875" bestFit="1" customWidth="1"/>
    <col min="13" max="13" width="20.85546875" bestFit="1" customWidth="1"/>
    <col min="14" max="14" width="6.28515625" bestFit="1" customWidth="1"/>
    <col min="15" max="15" width="9.85546875" bestFit="1" customWidth="1"/>
    <col min="16" max="16" width="14.140625" bestFit="1" customWidth="1"/>
    <col min="17" max="17" width="10.85546875" bestFit="1" customWidth="1"/>
    <col min="18" max="18" width="13.85546875" bestFit="1" customWidth="1"/>
    <col min="19" max="19" width="10.85546875" bestFit="1" customWidth="1"/>
    <col min="20" max="20" width="9.28515625" bestFit="1" customWidth="1"/>
    <col min="21" max="21" width="11.42578125" bestFit="1" customWidth="1"/>
    <col min="22" max="22" width="13.140625" bestFit="1" customWidth="1"/>
    <col min="23" max="23" width="10.28515625" bestFit="1" customWidth="1"/>
    <col min="24" max="24" width="10.7109375" bestFit="1" customWidth="1"/>
    <col min="25" max="26" width="10.28515625" bestFit="1" customWidth="1"/>
    <col min="27" max="27" width="10.7109375" bestFit="1" customWidth="1"/>
    <col min="28" max="29" width="10.28515625" bestFit="1" customWidth="1"/>
    <col min="30" max="30" width="10.7109375" bestFit="1" customWidth="1"/>
    <col min="31" max="31" width="10.28515625" bestFit="1" customWidth="1"/>
    <col min="32" max="32" width="9.28515625" bestFit="1" customWidth="1"/>
    <col min="33" max="33" width="10.7109375" bestFit="1" customWidth="1"/>
    <col min="34" max="34" width="10.28515625" bestFit="1" customWidth="1"/>
    <col min="35" max="35" width="9.28515625" bestFit="1" customWidth="1"/>
    <col min="36" max="36" width="10.7109375" bestFit="1" customWidth="1"/>
    <col min="37" max="37" width="10.28515625" bestFit="1" customWidth="1"/>
    <col min="38" max="38" width="9.28515625" bestFit="1" customWidth="1"/>
    <col min="39" max="39" width="10.7109375" bestFit="1" customWidth="1"/>
    <col min="40" max="41" width="9.28515625" bestFit="1" customWidth="1"/>
    <col min="42" max="42" width="10.7109375" bestFit="1" customWidth="1"/>
    <col min="43" max="44" width="9.28515625" bestFit="1" customWidth="1"/>
    <col min="45" max="45" width="10.7109375" bestFit="1" customWidth="1"/>
    <col min="46" max="47" width="9.28515625" bestFit="1" customWidth="1"/>
    <col min="48" max="48" width="10.7109375" bestFit="1" customWidth="1"/>
    <col min="49" max="49" width="12.42578125" bestFit="1" customWidth="1"/>
    <col min="50" max="50" width="13.42578125" bestFit="1" customWidth="1"/>
    <col min="51" max="51" width="12.42578125" bestFit="1" customWidth="1"/>
  </cols>
  <sheetData>
    <row r="4" spans="1:22" x14ac:dyDescent="0.25">
      <c r="F4" s="15" t="s">
        <v>27</v>
      </c>
      <c r="G4" s="15"/>
    </row>
    <row r="5" spans="1:22" x14ac:dyDescent="0.25">
      <c r="A5" s="15" t="s">
        <v>21</v>
      </c>
      <c r="B5" s="15"/>
      <c r="C5" s="15"/>
      <c r="D5" s="15"/>
      <c r="F5" s="2" t="s">
        <v>1</v>
      </c>
      <c r="G5" t="s">
        <v>18</v>
      </c>
    </row>
    <row r="6" spans="1:22" x14ac:dyDescent="0.25">
      <c r="A6" s="2" t="s">
        <v>1</v>
      </c>
      <c r="B6" t="s">
        <v>28</v>
      </c>
      <c r="C6" t="s">
        <v>19</v>
      </c>
      <c r="D6" t="s">
        <v>20</v>
      </c>
      <c r="F6" s="3" t="s">
        <v>4</v>
      </c>
      <c r="G6" s="1">
        <v>33.5</v>
      </c>
      <c r="I6" s="15" t="s">
        <v>26</v>
      </c>
      <c r="J6" s="15"/>
      <c r="L6" s="15" t="s">
        <v>36</v>
      </c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x14ac:dyDescent="0.25">
      <c r="A7" s="3" t="s">
        <v>42</v>
      </c>
      <c r="B7" s="4">
        <v>1</v>
      </c>
      <c r="C7" s="4">
        <v>0.40925520285806422</v>
      </c>
      <c r="D7" s="4">
        <v>0.59074479714193573</v>
      </c>
      <c r="F7" s="3" t="s">
        <v>5</v>
      </c>
      <c r="G7" s="1">
        <v>19</v>
      </c>
      <c r="I7" s="2" t="s">
        <v>1</v>
      </c>
      <c r="J7" t="s">
        <v>0</v>
      </c>
      <c r="L7" t="s">
        <v>0</v>
      </c>
      <c r="M7" t="s">
        <v>30</v>
      </c>
      <c r="N7" t="s">
        <v>34</v>
      </c>
      <c r="O7" t="s">
        <v>18</v>
      </c>
      <c r="P7" t="s">
        <v>19</v>
      </c>
      <c r="Q7" t="s">
        <v>31</v>
      </c>
      <c r="R7" t="s">
        <v>33</v>
      </c>
      <c r="S7" t="s">
        <v>29</v>
      </c>
      <c r="T7" t="s">
        <v>20</v>
      </c>
      <c r="U7" t="s">
        <v>32</v>
      </c>
      <c r="V7" t="s">
        <v>35</v>
      </c>
    </row>
    <row r="8" spans="1:22" x14ac:dyDescent="0.25">
      <c r="A8" s="3" t="s">
        <v>38</v>
      </c>
      <c r="B8" s="4">
        <v>1</v>
      </c>
      <c r="C8" s="4">
        <v>0.60624431355648134</v>
      </c>
      <c r="D8" s="4">
        <v>0.3937556864435186</v>
      </c>
      <c r="F8" s="3" t="s">
        <v>2</v>
      </c>
      <c r="G8" s="1">
        <v>3261.91</v>
      </c>
      <c r="I8" s="3" t="s">
        <v>3</v>
      </c>
      <c r="J8" s="6">
        <v>0.71047452593587257</v>
      </c>
      <c r="L8" s="1">
        <v>19705.14</v>
      </c>
      <c r="M8" s="5">
        <v>12383.64</v>
      </c>
      <c r="N8" s="4">
        <v>0.59122358208087444</v>
      </c>
      <c r="O8" s="1">
        <v>9596.66</v>
      </c>
      <c r="P8" s="4">
        <v>0.48701303314769651</v>
      </c>
      <c r="Q8" s="7">
        <v>6096.5</v>
      </c>
      <c r="R8" s="4">
        <v>0.57412613794800293</v>
      </c>
      <c r="S8" s="1">
        <v>10108.48</v>
      </c>
      <c r="T8" s="4">
        <v>0.51298696685230349</v>
      </c>
      <c r="U8" s="10">
        <v>6287.1399999999994</v>
      </c>
      <c r="V8" s="4">
        <v>0.6078025938662095</v>
      </c>
    </row>
    <row r="9" spans="1:22" ht="15.75" x14ac:dyDescent="0.25">
      <c r="A9" s="3" t="s">
        <v>41</v>
      </c>
      <c r="B9" s="4">
        <v>1</v>
      </c>
      <c r="C9" s="4">
        <v>0.4780659700880967</v>
      </c>
      <c r="D9" s="4">
        <v>0.5219340299119033</v>
      </c>
      <c r="F9" s="3" t="s">
        <v>39</v>
      </c>
      <c r="G9" s="1">
        <v>66.91</v>
      </c>
      <c r="I9" s="3" t="s">
        <v>2</v>
      </c>
      <c r="J9" s="6">
        <v>0.28952547406412743</v>
      </c>
      <c r="L9" s="8">
        <f>GETPIVOTDATA("[Measures].[Income]",$L$7)</f>
        <v>19705.14</v>
      </c>
      <c r="N9" t="str">
        <f>IF(GETPIVOTDATA("[Measures].[Income]",$L$7) &gt; GETPIVOTDATA("[Measures].[PM income]",$L$7), "▲", "▼") &amp; TEXT(GETPIVOTDATA("[Measures].[MoM Income]",$L$7), "0%")</f>
        <v>▲59%</v>
      </c>
      <c r="P9" s="9">
        <f>GETPIVOTDATA("[Measures].[Expense %]",$L$7)</f>
        <v>0.48701303314769651</v>
      </c>
      <c r="R9" s="14" t="str">
        <f>+IF(GETPIVOTDATA("[Measures].[Expense]",$L$7) &gt; GETPIVOTDATA("[Measures].[PM Expense]",$L$7), "▼", "▲") &amp; TEXT(GETPIVOTDATA("[Measures].[MoM Expense]",$L$7), "0.0%")</f>
        <v>▼57.4%</v>
      </c>
      <c r="T9" s="9">
        <f>GETPIVOTDATA("[Measures].[Saving %]",$L$7)</f>
        <v>0.51298696685230349</v>
      </c>
      <c r="V9" s="13" t="str">
        <f>IF( GETPIVOTDATA("[Measures].[Savings]",$S$8)  &gt; GETPIVOTDATA("[Measures].[PM Savings]",$U$8),"▲", "▼") &amp; TEXT(GETPIVOTDATA("[Measures].[MoM Savings]",$V$8), "0.0%")</f>
        <v>▲60.8%</v>
      </c>
    </row>
    <row r="10" spans="1:22" x14ac:dyDescent="0.25">
      <c r="F10" s="3" t="s">
        <v>6</v>
      </c>
      <c r="G10" s="1">
        <v>199.42</v>
      </c>
    </row>
    <row r="11" spans="1:22" x14ac:dyDescent="0.25">
      <c r="F11" s="3" t="s">
        <v>7</v>
      </c>
      <c r="G11" s="1">
        <v>322.54000000000002</v>
      </c>
      <c r="I11" s="3"/>
      <c r="J11" s="1"/>
    </row>
    <row r="12" spans="1:22" x14ac:dyDescent="0.25">
      <c r="F12" s="3" t="s">
        <v>8</v>
      </c>
      <c r="G12" s="1">
        <v>30</v>
      </c>
      <c r="I12" s="3"/>
      <c r="J12" s="1"/>
    </row>
    <row r="13" spans="1:22" x14ac:dyDescent="0.25">
      <c r="F13" s="3" t="s">
        <v>9</v>
      </c>
      <c r="G13" s="1">
        <v>51.21</v>
      </c>
      <c r="I13" s="15" t="s">
        <v>25</v>
      </c>
      <c r="J13" s="15"/>
      <c r="P13" s="2" t="s">
        <v>1</v>
      </c>
      <c r="Q13" t="s">
        <v>0</v>
      </c>
    </row>
    <row r="14" spans="1:22" x14ac:dyDescent="0.25">
      <c r="F14" s="3" t="s">
        <v>10</v>
      </c>
      <c r="G14" s="1">
        <v>219.97</v>
      </c>
      <c r="I14" s="2" t="s">
        <v>1</v>
      </c>
      <c r="J14" t="s">
        <v>18</v>
      </c>
      <c r="M14" s="2" t="s">
        <v>1</v>
      </c>
      <c r="N14" t="s">
        <v>37</v>
      </c>
      <c r="P14" s="3" t="s">
        <v>40</v>
      </c>
      <c r="Q14" s="1">
        <v>19705.14</v>
      </c>
    </row>
    <row r="15" spans="1:22" x14ac:dyDescent="0.25">
      <c r="F15" s="3" t="s">
        <v>11</v>
      </c>
      <c r="G15" s="1">
        <v>268.5</v>
      </c>
      <c r="I15" s="3" t="s">
        <v>22</v>
      </c>
      <c r="J15" s="6">
        <v>0.82733992868352113</v>
      </c>
      <c r="M15" s="3" t="s">
        <v>4</v>
      </c>
      <c r="N15" s="11">
        <v>2</v>
      </c>
    </row>
    <row r="16" spans="1:22" x14ac:dyDescent="0.25">
      <c r="F16" s="3" t="s">
        <v>12</v>
      </c>
      <c r="G16" s="1">
        <v>3742.32</v>
      </c>
      <c r="I16" s="3" t="s">
        <v>23</v>
      </c>
      <c r="J16" s="6">
        <v>9.2664531201480521E-2</v>
      </c>
      <c r="M16" s="3" t="s">
        <v>5</v>
      </c>
      <c r="N16" s="11">
        <v>6</v>
      </c>
    </row>
    <row r="17" spans="6:14" x14ac:dyDescent="0.25">
      <c r="F17" s="3" t="s">
        <v>13</v>
      </c>
      <c r="G17" s="1">
        <v>35.28</v>
      </c>
      <c r="I17" s="3" t="s">
        <v>24</v>
      </c>
      <c r="J17" s="6">
        <v>7.9995540114998348E-2</v>
      </c>
      <c r="M17" s="3" t="s">
        <v>2</v>
      </c>
      <c r="N17" s="11">
        <v>16</v>
      </c>
    </row>
    <row r="18" spans="6:14" x14ac:dyDescent="0.25">
      <c r="F18" s="3" t="s">
        <v>14</v>
      </c>
      <c r="G18" s="1">
        <v>32.07</v>
      </c>
      <c r="M18" s="3" t="s">
        <v>39</v>
      </c>
      <c r="N18" s="11">
        <v>3</v>
      </c>
    </row>
    <row r="19" spans="6:14" x14ac:dyDescent="0.25">
      <c r="F19" s="3" t="s">
        <v>15</v>
      </c>
      <c r="G19" s="1">
        <v>681.7</v>
      </c>
      <c r="M19" s="3" t="s">
        <v>6</v>
      </c>
      <c r="N19" s="11">
        <v>6</v>
      </c>
    </row>
    <row r="20" spans="6:14" x14ac:dyDescent="0.25">
      <c r="F20" s="3" t="s">
        <v>16</v>
      </c>
      <c r="G20" s="1">
        <v>185.33</v>
      </c>
      <c r="M20" s="3" t="s">
        <v>7</v>
      </c>
      <c r="N20" s="11">
        <v>14</v>
      </c>
    </row>
    <row r="21" spans="6:14" x14ac:dyDescent="0.25">
      <c r="F21" s="3" t="s">
        <v>17</v>
      </c>
      <c r="G21" s="1">
        <v>447</v>
      </c>
      <c r="M21" s="3" t="s">
        <v>8</v>
      </c>
      <c r="N21" s="11">
        <v>1</v>
      </c>
    </row>
    <row r="22" spans="6:14" x14ac:dyDescent="0.25">
      <c r="M22" s="3" t="s">
        <v>9</v>
      </c>
      <c r="N22" s="11">
        <v>3</v>
      </c>
    </row>
    <row r="23" spans="6:14" x14ac:dyDescent="0.25">
      <c r="M23" s="3" t="s">
        <v>10</v>
      </c>
      <c r="N23" s="11">
        <v>3</v>
      </c>
    </row>
    <row r="24" spans="6:14" x14ac:dyDescent="0.25">
      <c r="M24" s="3" t="s">
        <v>11</v>
      </c>
      <c r="N24" s="11">
        <v>3</v>
      </c>
    </row>
    <row r="25" spans="6:14" x14ac:dyDescent="0.25">
      <c r="M25" s="3" t="s">
        <v>12</v>
      </c>
      <c r="N25" s="11">
        <v>3</v>
      </c>
    </row>
    <row r="26" spans="6:14" x14ac:dyDescent="0.25">
      <c r="M26" s="3" t="s">
        <v>13</v>
      </c>
      <c r="N26" s="11">
        <v>3</v>
      </c>
    </row>
    <row r="27" spans="6:14" x14ac:dyDescent="0.25">
      <c r="M27" s="3" t="s">
        <v>14</v>
      </c>
      <c r="N27" s="11">
        <v>3</v>
      </c>
    </row>
    <row r="28" spans="6:14" x14ac:dyDescent="0.25">
      <c r="M28" s="3" t="s">
        <v>3</v>
      </c>
      <c r="N28" s="11">
        <v>7</v>
      </c>
    </row>
    <row r="29" spans="6:14" x14ac:dyDescent="0.25">
      <c r="M29" s="3" t="s">
        <v>15</v>
      </c>
      <c r="N29" s="11">
        <v>19</v>
      </c>
    </row>
    <row r="30" spans="6:14" x14ac:dyDescent="0.25">
      <c r="M30" s="3" t="s">
        <v>16</v>
      </c>
      <c r="N30" s="11">
        <v>7</v>
      </c>
    </row>
    <row r="31" spans="6:14" x14ac:dyDescent="0.25">
      <c r="M31" s="3" t="s">
        <v>17</v>
      </c>
      <c r="N31" s="11">
        <v>9</v>
      </c>
    </row>
  </sheetData>
  <mergeCells count="5">
    <mergeCell ref="F4:G4"/>
    <mergeCell ref="L6:V6"/>
    <mergeCell ref="A5:D5"/>
    <mergeCell ref="I13:J13"/>
    <mergeCell ref="I6:J6"/>
  </mergeCells>
  <conditionalFormatting sqref="N9">
    <cfRule type="expression" dxfId="6" priority="7">
      <formula>$L$8&lt;$M$8</formula>
    </cfRule>
    <cfRule type="expression" dxfId="5" priority="8">
      <formula>$L$8&gt;$M$8</formula>
    </cfRule>
  </conditionalFormatting>
  <conditionalFormatting sqref="R9">
    <cfRule type="expression" dxfId="4" priority="5">
      <formula>$O$8&lt;$Q$8</formula>
    </cfRule>
    <cfRule type="expression" dxfId="3" priority="6">
      <formula>$O$8 &gt; $Q$8</formula>
    </cfRule>
  </conditionalFormatting>
  <conditionalFormatting sqref="V9">
    <cfRule type="expression" dxfId="2" priority="1">
      <formula>$S$8 &lt; $U$8</formula>
    </cfRule>
    <cfRule type="expression" dxfId="1" priority="2">
      <formula>$S$8 &gt; $U$8</formula>
    </cfRule>
  </conditionalFormatting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C0F6-31D1-40B6-9160-A20A3A6CD14C}">
  <dimension ref="A1"/>
  <sheetViews>
    <sheetView showGridLines="0" tabSelected="1" topLeftCell="A2" zoomScale="94" zoomScaleNormal="94" workbookViewId="0">
      <selection activeCell="AE14" sqref="AE14"/>
    </sheetView>
  </sheetViews>
  <sheetFormatPr defaultRowHeight="15" x14ac:dyDescent="0.25"/>
  <cols>
    <col min="1" max="16384" width="9.140625" style="12"/>
  </cols>
  <sheetData/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04116044-84E2-4F2E-BD00-0D01DBCBFA5B}">
  <ds:schemaRefs/>
</ds:datastoreItem>
</file>

<file path=customXml/itemProps2.xml><?xml version="1.0" encoding="utf-8"?>
<ds:datastoreItem xmlns:ds="http://schemas.openxmlformats.org/officeDocument/2006/customXml" ds:itemID="{DDF6AAA8-A948-4FC1-9128-15578491E47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832DDFA-C473-4DB5-842A-74BC8B66633E}">
  <ds:schemaRefs/>
</ds:datastoreItem>
</file>

<file path=customXml/itemProps4.xml><?xml version="1.0" encoding="utf-8"?>
<ds:datastoreItem xmlns:ds="http://schemas.openxmlformats.org/officeDocument/2006/customXml" ds:itemID="{DA2F74E5-A8A8-4676-B52B-8C59532EA3B4}">
  <ds:schemaRefs/>
</ds:datastoreItem>
</file>

<file path=customXml/itemProps5.xml><?xml version="1.0" encoding="utf-8"?>
<ds:datastoreItem xmlns:ds="http://schemas.openxmlformats.org/officeDocument/2006/customXml" ds:itemID="{3E93A13E-C29F-45B1-A317-0445297D6BC4}">
  <ds:schemaRefs/>
</ds:datastoreItem>
</file>

<file path=customXml/itemProps6.xml><?xml version="1.0" encoding="utf-8"?>
<ds:datastoreItem xmlns:ds="http://schemas.openxmlformats.org/officeDocument/2006/customXml" ds:itemID="{EA037386-65AB-4533-B66E-23A81BD3D179}">
  <ds:schemaRefs/>
</ds:datastoreItem>
</file>

<file path=customXml/itemProps7.xml><?xml version="1.0" encoding="utf-8"?>
<ds:datastoreItem xmlns:ds="http://schemas.openxmlformats.org/officeDocument/2006/customXml" ds:itemID="{29D50CEF-E552-47C7-9B70-AC332113BB36}">
  <ds:schemaRefs/>
</ds:datastoreItem>
</file>

<file path=customXml/itemProps8.xml><?xml version="1.0" encoding="utf-8"?>
<ds:datastoreItem xmlns:ds="http://schemas.openxmlformats.org/officeDocument/2006/customXml" ds:itemID="{3D93E20C-CCF3-42DC-91CD-E4BE6ABDEA69}">
  <ds:schemaRefs/>
</ds:datastoreItem>
</file>

<file path=customXml/itemProps9.xml><?xml version="1.0" encoding="utf-8"?>
<ds:datastoreItem xmlns:ds="http://schemas.openxmlformats.org/officeDocument/2006/customXml" ds:itemID="{C87FA4D0-7D6F-48F1-9030-4EF7DC73E8C5}">
  <ds:schemaRefs/>
</ds:datastoreItem>
</file>

<file path=customXml/itemProps10.xml><?xml version="1.0" encoding="utf-8"?>
<ds:datastoreItem xmlns:ds="http://schemas.openxmlformats.org/officeDocument/2006/customXml" ds:itemID="{CE57F0E8-7E64-459F-9C79-84129837222B}">
  <ds:schemaRefs/>
</ds:datastoreItem>
</file>

<file path=customXml/itemProps11.xml><?xml version="1.0" encoding="utf-8"?>
<ds:datastoreItem xmlns:ds="http://schemas.openxmlformats.org/officeDocument/2006/customXml" ds:itemID="{D7EA4134-968A-4F09-B418-19AFD8FF2BD9}">
  <ds:schemaRefs/>
</ds:datastoreItem>
</file>

<file path=customXml/itemProps12.xml><?xml version="1.0" encoding="utf-8"?>
<ds:datastoreItem xmlns:ds="http://schemas.openxmlformats.org/officeDocument/2006/customXml" ds:itemID="{740E4745-8ADE-49AF-9B81-B3A80F922BE1}">
  <ds:schemaRefs/>
</ds:datastoreItem>
</file>

<file path=customXml/itemProps13.xml><?xml version="1.0" encoding="utf-8"?>
<ds:datastoreItem xmlns:ds="http://schemas.openxmlformats.org/officeDocument/2006/customXml" ds:itemID="{9C00BC11-5A7B-41D2-A7E1-8B7DBC6215E6}">
  <ds:schemaRefs/>
</ds:datastoreItem>
</file>

<file path=customXml/itemProps14.xml><?xml version="1.0" encoding="utf-8"?>
<ds:datastoreItem xmlns:ds="http://schemas.openxmlformats.org/officeDocument/2006/customXml" ds:itemID="{15A983DC-F0D4-48ED-9DC0-CC927A4892EB}">
  <ds:schemaRefs/>
</ds:datastoreItem>
</file>

<file path=customXml/itemProps15.xml><?xml version="1.0" encoding="utf-8"?>
<ds:datastoreItem xmlns:ds="http://schemas.openxmlformats.org/officeDocument/2006/customXml" ds:itemID="{97F7FE70-ADA9-46C2-B2AD-130DD41C0EB1}">
  <ds:schemaRefs/>
</ds:datastoreItem>
</file>

<file path=customXml/itemProps16.xml><?xml version="1.0" encoding="utf-8"?>
<ds:datastoreItem xmlns:ds="http://schemas.openxmlformats.org/officeDocument/2006/customXml" ds:itemID="{47D47CB3-0C35-4A44-A62F-975D6606F4AE}">
  <ds:schemaRefs/>
</ds:datastoreItem>
</file>

<file path=customXml/itemProps17.xml><?xml version="1.0" encoding="utf-8"?>
<ds:datastoreItem xmlns:ds="http://schemas.openxmlformats.org/officeDocument/2006/customXml" ds:itemID="{E7DB9FD6-73B0-475D-895A-6CA51C5D4C04}">
  <ds:schemaRefs/>
</ds:datastoreItem>
</file>

<file path=customXml/itemProps18.xml><?xml version="1.0" encoding="utf-8"?>
<ds:datastoreItem xmlns:ds="http://schemas.openxmlformats.org/officeDocument/2006/customXml" ds:itemID="{A45E1CD5-D9F8-4060-915E-31AE43D0A13E}">
  <ds:schemaRefs/>
</ds:datastoreItem>
</file>

<file path=customXml/itemProps19.xml><?xml version="1.0" encoding="utf-8"?>
<ds:datastoreItem xmlns:ds="http://schemas.openxmlformats.org/officeDocument/2006/customXml" ds:itemID="{FF4C2246-FA0A-4ACB-956C-246AD4F22B73}">
  <ds:schemaRefs/>
</ds:datastoreItem>
</file>

<file path=customXml/itemProps20.xml><?xml version="1.0" encoding="utf-8"?>
<ds:datastoreItem xmlns:ds="http://schemas.openxmlformats.org/officeDocument/2006/customXml" ds:itemID="{D1B929B9-A345-439D-BB66-E1473D7F82EE}">
  <ds:schemaRefs/>
</ds:datastoreItem>
</file>

<file path=customXml/itemProps21.xml><?xml version="1.0" encoding="utf-8"?>
<ds:datastoreItem xmlns:ds="http://schemas.openxmlformats.org/officeDocument/2006/customXml" ds:itemID="{1FF0ED17-D599-436B-89C7-CFFAC9567668}">
  <ds:schemaRefs/>
</ds:datastoreItem>
</file>

<file path=customXml/itemProps22.xml><?xml version="1.0" encoding="utf-8"?>
<ds:datastoreItem xmlns:ds="http://schemas.openxmlformats.org/officeDocument/2006/customXml" ds:itemID="{9311853B-BA26-4F0E-BFDB-DF75262C0BB5}">
  <ds:schemaRefs/>
</ds:datastoreItem>
</file>

<file path=customXml/itemProps23.xml><?xml version="1.0" encoding="utf-8"?>
<ds:datastoreItem xmlns:ds="http://schemas.openxmlformats.org/officeDocument/2006/customXml" ds:itemID="{2437E60F-6EE1-421E-8AB4-4ACB01F4CDE7}">
  <ds:schemaRefs/>
</ds:datastoreItem>
</file>

<file path=customXml/itemProps24.xml><?xml version="1.0" encoding="utf-8"?>
<ds:datastoreItem xmlns:ds="http://schemas.openxmlformats.org/officeDocument/2006/customXml" ds:itemID="{53BBE9E4-3883-4BA0-B096-5AA3A3496680}">
  <ds:schemaRefs/>
</ds:datastoreItem>
</file>

<file path=customXml/itemProps25.xml><?xml version="1.0" encoding="utf-8"?>
<ds:datastoreItem xmlns:ds="http://schemas.openxmlformats.org/officeDocument/2006/customXml" ds:itemID="{45C95D8D-06FA-49FA-9154-7192EBD4DF17}">
  <ds:schemaRefs/>
</ds:datastoreItem>
</file>

<file path=customXml/itemProps26.xml><?xml version="1.0" encoding="utf-8"?>
<ds:datastoreItem xmlns:ds="http://schemas.openxmlformats.org/officeDocument/2006/customXml" ds:itemID="{02F222A0-22A3-479A-9007-4532DB57C367}">
  <ds:schemaRefs/>
</ds:datastoreItem>
</file>

<file path=customXml/itemProps27.xml><?xml version="1.0" encoding="utf-8"?>
<ds:datastoreItem xmlns:ds="http://schemas.openxmlformats.org/officeDocument/2006/customXml" ds:itemID="{9393E476-903C-439A-83D9-28C232C40ECD}">
  <ds:schemaRefs/>
</ds:datastoreItem>
</file>

<file path=customXml/itemProps28.xml><?xml version="1.0" encoding="utf-8"?>
<ds:datastoreItem xmlns:ds="http://schemas.openxmlformats.org/officeDocument/2006/customXml" ds:itemID="{AB852005-4C1D-4074-84C6-F78A302ECCEA}">
  <ds:schemaRefs/>
</ds:datastoreItem>
</file>

<file path=customXml/itemProps29.xml><?xml version="1.0" encoding="utf-8"?>
<ds:datastoreItem xmlns:ds="http://schemas.openxmlformats.org/officeDocument/2006/customXml" ds:itemID="{0E099E12-FAAF-4AE1-A2B1-D0FBBF224016}">
  <ds:schemaRefs/>
</ds:datastoreItem>
</file>

<file path=customXml/itemProps30.xml><?xml version="1.0" encoding="utf-8"?>
<ds:datastoreItem xmlns:ds="http://schemas.openxmlformats.org/officeDocument/2006/customXml" ds:itemID="{46E22B29-D3F8-4A17-95F0-1B630554862F}">
  <ds:schemaRefs/>
</ds:datastoreItem>
</file>

<file path=customXml/itemProps31.xml><?xml version="1.0" encoding="utf-8"?>
<ds:datastoreItem xmlns:ds="http://schemas.openxmlformats.org/officeDocument/2006/customXml" ds:itemID="{208F374A-7AF9-4C95-9996-D763FFC9295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</dc:creator>
  <cp:lastModifiedBy>BJ</cp:lastModifiedBy>
  <dcterms:created xsi:type="dcterms:W3CDTF">2025-11-22T17:08:23Z</dcterms:created>
  <dcterms:modified xsi:type="dcterms:W3CDTF">2025-11-28T03:18:32Z</dcterms:modified>
</cp:coreProperties>
</file>